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ekCieśla-AuraCons\Downloads\"/>
    </mc:Choice>
  </mc:AlternateContent>
  <xr:revisionPtr revIDLastSave="0" documentId="8_{79B5ED4C-4020-4635-8CFD-81EBEB5BEF0B}" xr6:coauthVersionLast="47" xr6:coauthVersionMax="47" xr10:uidLastSave="{00000000-0000-0000-0000-000000000000}"/>
  <bookViews>
    <workbookView xWindow="28680" yWindow="-120" windowWidth="29040" windowHeight="15720" tabRatio="705" firstSheet="1" activeTab="1" xr2:uid="{00000000-000D-0000-FFFF-FFFF00000000}"/>
  </bookViews>
  <sheets>
    <sheet name="Instrukcja" sheetId="1" r:id="rId1"/>
    <sheet name="1. Dane firmy" sheetId="2" r:id="rId2"/>
    <sheet name="2. Lokalizacja 1" sheetId="3" r:id="rId3"/>
    <sheet name="3. Lokalizacja 2" sheetId="4" r:id="rId4"/>
    <sheet name="4. Lokalizacja 3" sheetId="5" r:id="rId5"/>
    <sheet name="5. Sprzęt medyczny" sheetId="6" r:id="rId6"/>
    <sheet name="6. Elektronika EEI" sheetId="7" r:id="rId7"/>
    <sheet name="7. Szkodowość" sheetId="8" r:id="rId8"/>
    <sheet name="8. Podsumowanie" sheetId="9" r:id="rId9"/>
    <sheet name="_listy" sheetId="10" state="hidden" r:id="rId10"/>
  </sheets>
  <definedNames>
    <definedName name="_xlnm.Print_Area" localSheetId="1">'1. Dane firmy'!$A$1:$D$23</definedName>
    <definedName name="_xlnm.Print_Area" localSheetId="2">'2. Lokalizacja 1'!$A$1:$D$60</definedName>
    <definedName name="_xlnm.Print_Area" localSheetId="3">'3. Lokalizacja 2'!$A$1:$D$60</definedName>
    <definedName name="_xlnm.Print_Area" localSheetId="4">'4. Lokalizacja 3'!$A$1:$D$60</definedName>
    <definedName name="_xlnm.Print_Area" localSheetId="5">'5. Sprzęt medyczny'!$A$1:$K$18</definedName>
    <definedName name="_xlnm.Print_Area" localSheetId="6">'6. Elektronika EEI'!$A$1:$J$18</definedName>
    <definedName name="_xlnm.Print_Area" localSheetId="7">'7. Szkodowość'!$A$1:$G$14</definedName>
    <definedName name="_xlnm.Print_Area" localSheetId="8">'8. Podsumowanie'!$A$1:$F$51</definedName>
    <definedName name="_xlnm.Print_Area" localSheetId="0">Instrukcja!$A$1:$C$26</definedName>
    <definedName name="_xlnm.Print_Titles" localSheetId="5">'5. Sprzęt medyczny'!$7:$7</definedName>
    <definedName name="_xlnm.Print_Titles" localSheetId="6">'6. Elektronika EEI'!$7:$7</definedName>
    <definedName name="_xlnm.Print_Titles" localSheetId="7">'7. Szkodowość'!$9:$9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9" l="1"/>
  <c r="D26" i="9"/>
  <c r="C26" i="9"/>
  <c r="F25" i="9"/>
  <c r="E25" i="9"/>
  <c r="D25" i="9"/>
  <c r="C25" i="9"/>
  <c r="F24" i="9"/>
  <c r="E24" i="9"/>
  <c r="D24" i="9"/>
  <c r="C24" i="9"/>
  <c r="E23" i="9"/>
  <c r="D23" i="9"/>
  <c r="C23" i="9"/>
  <c r="F23" i="9" s="1"/>
  <c r="F22" i="9"/>
  <c r="E22" i="9"/>
  <c r="D22" i="9"/>
  <c r="C22" i="9"/>
  <c r="F21" i="9"/>
  <c r="E21" i="9"/>
  <c r="D21" i="9"/>
  <c r="C21" i="9"/>
  <c r="E20" i="9"/>
  <c r="D20" i="9"/>
  <c r="C20" i="9"/>
  <c r="F20" i="9" s="1"/>
  <c r="F19" i="9"/>
  <c r="E19" i="9"/>
  <c r="D19" i="9"/>
  <c r="C19" i="9"/>
  <c r="F18" i="9"/>
  <c r="E18" i="9"/>
  <c r="D18" i="9"/>
  <c r="C18" i="9"/>
  <c r="F17" i="9"/>
  <c r="E17" i="9"/>
  <c r="D17" i="9"/>
  <c r="C17" i="9"/>
  <c r="F16" i="9"/>
  <c r="F26" i="9" s="1"/>
  <c r="E16" i="9"/>
  <c r="D16" i="9"/>
  <c r="C16" i="9"/>
  <c r="F14" i="8"/>
  <c r="E14" i="8"/>
  <c r="H18" i="7"/>
  <c r="I18" i="6"/>
  <c r="C60" i="5"/>
  <c r="C59" i="5"/>
  <c r="C56" i="5"/>
  <c r="C60" i="4"/>
  <c r="C59" i="4"/>
  <c r="C56" i="4"/>
  <c r="C60" i="3"/>
  <c r="C59" i="3"/>
  <c r="C56" i="3"/>
</calcChain>
</file>

<file path=xl/sharedStrings.xml><?xml version="1.0" encoding="utf-8"?>
<sst xmlns="http://schemas.openxmlformats.org/spreadsheetml/2006/main" count="472" uniqueCount="246">
  <si>
    <t>WNIOSEK O UBEZPIECZENIE MAJĄTKOWE</t>
  </si>
  <si>
    <t>Aura Expert — szablon do wypełnienia w arkuszu kalkulacyjnym</t>
  </si>
  <si>
    <t>JAK WYPEŁNIĆ</t>
  </si>
  <si>
    <t>Kolejność</t>
  </si>
  <si>
    <t>Wypełniaj zakładki po kolei — od „1. Dane firmy” do „8. Podsumowanie”.</t>
  </si>
  <si>
    <t>Pola wymagane</t>
  </si>
  <si>
    <t>Oznaczone gwiazdką * i wyróżnione kremowym tłem. Bez nich wniosek nie zostanie rozpatrzony.</t>
  </si>
  <si>
    <t>Listy rozwijane</t>
  </si>
  <si>
    <t>Komórki ze strzałką po prawej — wybierz wartość z listy zamiast wpisywać własną.</t>
  </si>
  <si>
    <t>Pola TAK / NIE</t>
  </si>
  <si>
    <t>Odpowiednik pól wyboru z formularza internetowego. Domyślnie „NIE”.</t>
  </si>
  <si>
    <t>Kwoty</t>
  </si>
  <si>
    <t>Podawaj wartość odtworzeniową (koszt zakupu nowego), w pełnych złotych, bez groszy.</t>
  </si>
  <si>
    <t>Sumy</t>
  </si>
  <si>
    <t>Pola szare liczą się same — nie nadpisuj ich.</t>
  </si>
  <si>
    <t>Lokalizacje</t>
  </si>
  <si>
    <t>Szablon obejmuje 3 lokalizacje. Wypełnij tylko te faktycznie użytkowane; przy większej liczbie skontaktuj się z agentem.</t>
  </si>
  <si>
    <t>Kontrola spójności</t>
  </si>
  <si>
    <t>Na dole każdej zakładki lokalizacji sprawdzane jest, czy sumy zgadzają się z wykazem sprzętu. Czerwone podświetlenie oznacza rozbieżność do poprawienia.</t>
  </si>
  <si>
    <t>Ochrona arkusza</t>
  </si>
  <si>
    <t>Zablokowane są wyłącznie etykiety i formuły — żeby ich przypadkiem nie skasować. Ochrona jest bez hasła i można ją zdjąć: Recenzja → Nie chroń arkusza.</t>
  </si>
  <si>
    <t>ZAWARTOŚĆ SKOROSZYTU</t>
  </si>
  <si>
    <t>1. Dane firmy</t>
  </si>
  <si>
    <t>Sekcja 1 — dane ubezpieczającego · Sekcja 3 — profil działalności</t>
  </si>
  <si>
    <t>2–4. Lokalizacja 1–3</t>
  </si>
  <si>
    <t>Sekcja 2 — charakterystyka obiektu · Sekcja 4A — ppoż. · Sekcja 4B — antykradzieżowe · sumy ubezpieczenia</t>
  </si>
  <si>
    <t>5. Sprzęt medyczny</t>
  </si>
  <si>
    <t>Wykaz urządzeń medycznych i estetycznych, z przypisaniem do lokalizacji</t>
  </si>
  <si>
    <t>6. Elektronika EEI</t>
  </si>
  <si>
    <t>Wykaz sprzętu IT, kas fiskalnych i terminali, z przypisaniem do lokalizacji</t>
  </si>
  <si>
    <t>7. Szkodowość</t>
  </si>
  <si>
    <t>Sekcja 7 — szkody z ostatnich 5 lat</t>
  </si>
  <si>
    <t>8. Podsumowanie</t>
  </si>
  <si>
    <t>Sekcja 5 — zakres · Sekcja 6 — łączna suma · Sekcja 8 — obecna polisa · Sekcja 9 — uwagi i oświadczenia</t>
  </si>
  <si>
    <t>PO WYPEŁNIENIU</t>
  </si>
  <si>
    <t>Odeślij wypełniony plik do swojego agenta Aura Expert. Ten sam wniosek można złożyć online — wtedy sumy i wykaz sprzętu przepiszą się do systemu automatycznie.</t>
  </si>
  <si>
    <t>Krok 1 z 8 — dane ubezpieczającego i profil działalności. Pola oznaczone * są wymagane.</t>
  </si>
  <si>
    <t>SEKCJA 1 — DANE UBEZPIECZAJĄCEGO / UBEZPIECZONEGO</t>
  </si>
  <si>
    <t>Nazwa firmy / imię i nazwisko *</t>
  </si>
  <si>
    <t>np. Beauty Studio sp. z o.o.</t>
  </si>
  <si>
    <t>NIP</t>
  </si>
  <si>
    <t>000-000-00-00</t>
  </si>
  <si>
    <t>REGON</t>
  </si>
  <si>
    <t>KRS</t>
  </si>
  <si>
    <t>Forma prawna</t>
  </si>
  <si>
    <t>Adres siedziby *</t>
  </si>
  <si>
    <t>ul. Przykładowa 1, 00-000 Warszawa</t>
  </si>
  <si>
    <t>Numer PKD</t>
  </si>
  <si>
    <t>np. 96.02.Z</t>
  </si>
  <si>
    <t>E-mail kontaktowy *</t>
  </si>
  <si>
    <t>biuro@firma.pl</t>
  </si>
  <si>
    <t>Telefon *</t>
  </si>
  <si>
    <t>+48 000 000 000</t>
  </si>
  <si>
    <t>Osoba do kontaktu</t>
  </si>
  <si>
    <t>Stanowisko</t>
  </si>
  <si>
    <t>SEKCJA 3 — PROFIL DZIAŁALNOŚCI</t>
  </si>
  <si>
    <t>Rodzaj działalności *</t>
  </si>
  <si>
    <t>np. Salon kosmetyczny, klinika estetyczna</t>
  </si>
  <si>
    <t>Liczba pracowników</t>
  </si>
  <si>
    <t>Szacunkowy roczny obrót</t>
  </si>
  <si>
    <t>Sekcje 2 i 4 (charakterystyka obiektu oraz zabezpieczenia) znajdują się na zakładkach „Lokalizacja 1–3”.</t>
  </si>
  <si>
    <t>LOKALIZACJA 1</t>
  </si>
  <si>
    <t>Lokalizacja 1 z 3 — wypełnij tylko dla faktycznie użytkowanych lokalizacji.</t>
  </si>
  <si>
    <t>SEKCJA 2 — LOKALIZACJA I CHARAKTERYSTYKA BUDYNKU / LOKALU</t>
  </si>
  <si>
    <t>Nazwa lokalizacji</t>
  </si>
  <si>
    <t>np. Oddział Centrum</t>
  </si>
  <si>
    <t>Adres lokalizacji ubezpieczenia *</t>
  </si>
  <si>
    <t>jeśli różny od siedziby</t>
  </si>
  <si>
    <t>Typ lokalu</t>
  </si>
  <si>
    <t>Piętro / kondygnacja</t>
  </si>
  <si>
    <t>np. 0, 1, -1</t>
  </si>
  <si>
    <t>Powierzchnia (m²)</t>
  </si>
  <si>
    <t>np. 120</t>
  </si>
  <si>
    <t>Rok budowy</t>
  </si>
  <si>
    <t>np. 1995</t>
  </si>
  <si>
    <t>Rok ostatniego remontu</t>
  </si>
  <si>
    <t>np. 2020</t>
  </si>
  <si>
    <t>Materiał ścian</t>
  </si>
  <si>
    <t>Pokrycie dachu</t>
  </si>
  <si>
    <t>Stan techniczny</t>
  </si>
  <si>
    <t>Ogrzewanie</t>
  </si>
  <si>
    <t>Budynek własny (nie najemca)</t>
  </si>
  <si>
    <t>NIE</t>
  </si>
  <si>
    <t>Materiały palne w produkcji / procesie</t>
  </si>
  <si>
    <t>SEKCJA 4A — ZABEZPIECZENIA PRZECIWPOŻAROWE</t>
  </si>
  <si>
    <t>Gaśnice (liczba sztuk)</t>
  </si>
  <si>
    <t>np. 2</t>
  </si>
  <si>
    <t>Data przeglądu gaśnic</t>
  </si>
  <si>
    <t>dd.mm.rrrr</t>
  </si>
  <si>
    <t>Odległość od PSP (km)</t>
  </si>
  <si>
    <t>np. 3</t>
  </si>
  <si>
    <t>Hydranty wewnętrzne</t>
  </si>
  <si>
    <t>System alarmowania pożaru (SAP)</t>
  </si>
  <si>
    <t>Tryskacze / automatyczny system gaśniczy</t>
  </si>
  <si>
    <t>Oznakowane drogi ewakuacyjne</t>
  </si>
  <si>
    <t>Zakaz palenia na obiekcie</t>
  </si>
  <si>
    <t>SEKCJA 4B — ZABEZPIECZENIA ANTYKRADZIEŻOWE</t>
  </si>
  <si>
    <t>Alarm — typ</t>
  </si>
  <si>
    <t>brak</t>
  </si>
  <si>
    <t>Agencja ochrony (nazwa)</t>
  </si>
  <si>
    <t>np. Securitas, G4S</t>
  </si>
  <si>
    <t>Sejf / szafa stalowa — klasa</t>
  </si>
  <si>
    <t>Ogrodzenie terenu</t>
  </si>
  <si>
    <t>Agencja ochrony czynna 24h</t>
  </si>
  <si>
    <t>Monitoring wizyjny (CCTV)</t>
  </si>
  <si>
    <t>Kraty w oknach</t>
  </si>
  <si>
    <t>Rolety antywłamaniowe</t>
  </si>
  <si>
    <t>Zamki atestowane</t>
  </si>
  <si>
    <t>Drzwi atestowane (antywłamaniowe)</t>
  </si>
  <si>
    <t>Szyby antywłamaniowe</t>
  </si>
  <si>
    <t>Komputerowy system alarmowy</t>
  </si>
  <si>
    <t>SUMY UBEZPIECZENIA DLA TEJ LOKALIZACJI (PLN)</t>
  </si>
  <si>
    <t>Wpisz szacunkową wartość odtworzeniową (koszt zakupu nowego) każdej pozycji.</t>
  </si>
  <si>
    <t>Budynek / nakłady adaptacyjne (najemcy)</t>
  </si>
  <si>
    <t>Wyposażenie stałe (meble, zabudowa)</t>
  </si>
  <si>
    <t>Maszyny i urządzenia produkcyjne</t>
  </si>
  <si>
    <t>Środki obrotowe (towary, kosmetyki, preparaty)</t>
  </si>
  <si>
    <t>Sprzęt elektroniczny (IT, kasy fiskalne)</t>
  </si>
  <si>
    <t>Sprzęt medyczny / estetyczny</t>
  </si>
  <si>
    <t>Gotówka w lokalu (max jednorazowo)</t>
  </si>
  <si>
    <t>Gotówka w transporcie (max jednorazowo)</t>
  </si>
  <si>
    <t>Szyby i inne przedmioty od stłuczenia</t>
  </si>
  <si>
    <t>Mienie pracowników</t>
  </si>
  <si>
    <t>SUMA LOKALIZACJI</t>
  </si>
  <si>
    <t>KONTROLA SPÓJNOŚCI (wyliczane automatycznie)</t>
  </si>
  <si>
    <t>Suma wartości z zakładki „5. Sprzęt medyczny”</t>
  </si>
  <si>
    <t>porównaj z pozycją „Sprzęt medyczny / estetyczny”</t>
  </si>
  <si>
    <t>Suma wartości z zakładki „6. Elektronika EEI”</t>
  </si>
  <si>
    <t>porównaj z pozycją „Sprzęt elektroniczny”</t>
  </si>
  <si>
    <t>LOKALIZACJA 2</t>
  </si>
  <si>
    <t>Lokalizacja 2 z 3 — wypełnij tylko dla faktycznie użytkowanych lokalizacji.</t>
  </si>
  <si>
    <t>Adres lokalizacji ubezpieczenia</t>
  </si>
  <si>
    <t>LOKALIZACJA 3</t>
  </si>
  <si>
    <t>Lokalizacja 3 z 3 — wypełnij tylko dla faktycznie użytkowanych lokalizacji.</t>
  </si>
  <si>
    <t>Sprzęt medyczny i estetyczny — wykaz urządzeń we wszystkich lokalizacjach.</t>
  </si>
  <si>
    <t>Wskaż lokalizację dla każdego urządzenia. Suma wartości musi zgadzać się z pozycją „Sprzęt medyczny / estetyczny” w sumach danej lokalizacji.</t>
  </si>
  <si>
    <t>Lp.</t>
  </si>
  <si>
    <t>Lokalizacja</t>
  </si>
  <si>
    <t>Nazwa urządzenia</t>
  </si>
  <si>
    <t>Producent</t>
  </si>
  <si>
    <t>Model</t>
  </si>
  <si>
    <t>Nr seryjny</t>
  </si>
  <si>
    <t>Rok zakupu</t>
  </si>
  <si>
    <t>Wartość (PLN)</t>
  </si>
  <si>
    <t>Cert. CE</t>
  </si>
  <si>
    <t>Uwagi</t>
  </si>
  <si>
    <t>RAZEM</t>
  </si>
  <si>
    <t>Sprzęt elektroniczny (EEI) — komputery, kasy fiskalne, terminale, IT.</t>
  </si>
  <si>
    <t>Wskaż lokalizację dla każdego urządzenia. Suma wartości musi zgadzać się z pozycją „Sprzęt elektroniczny (IT, kasy fiskalne)” w sumach danej lokalizacji.</t>
  </si>
  <si>
    <t>Sekcja 7 — historia szkodowości z ostatnich 5 lat.</t>
  </si>
  <si>
    <t>SEKCJA 7 — HISTORIA SZKODOWOŚCI (OSTATNIE 5 LAT)</t>
  </si>
  <si>
    <t>Brak szkód w ostatnich 5 latach</t>
  </si>
  <si>
    <t>TAK</t>
  </si>
  <si>
    <t>jeśli NIE — wypełnij tabelę poniżej</t>
  </si>
  <si>
    <t>Data szkody</t>
  </si>
  <si>
    <t>Przyczyna</t>
  </si>
  <si>
    <t>Kwota szkody (PLN)</t>
  </si>
  <si>
    <t>Odszkodowanie (PLN)</t>
  </si>
  <si>
    <t>Ubezpieczyciel</t>
  </si>
  <si>
    <t>Zakres, łączna suma ubezpieczenia, dotychczasowa polisa i oświadczenia.</t>
  </si>
  <si>
    <t>SEKCJA 5 — ZAKRES UBEZPIECZENIA (zaznacz potrzebne)</t>
  </si>
  <si>
    <t>Mienie od ognia i zdarzeń losowych</t>
  </si>
  <si>
    <t xml:space="preserve">      ↳ Szyby i inne przedmioty od stłuczenia</t>
  </si>
  <si>
    <t>składowa „Mienie od ognia”</t>
  </si>
  <si>
    <t xml:space="preserve">      ↳ Dewastacja / wandalizm</t>
  </si>
  <si>
    <t xml:space="preserve">      ↳ Przepięcia elektryczne</t>
  </si>
  <si>
    <t>Kradzież z włamaniem i rabunek</t>
  </si>
  <si>
    <t>Sprzęt elektroniczny (EEI)</t>
  </si>
  <si>
    <t>Sprzęt medyczny / aparatura</t>
  </si>
  <si>
    <t>SEKCJA 6 — ŁĄCZNA SUMA UBEZPIECZENIA (WSZYSTKIE LOKALIZACJE)</t>
  </si>
  <si>
    <t>Kategoria</t>
  </si>
  <si>
    <t>Lokalizacja 1</t>
  </si>
  <si>
    <t>Lokalizacja 2</t>
  </si>
  <si>
    <t>Lokalizacja 3</t>
  </si>
  <si>
    <t>ŁĄCZNA SUMA UBEZPIECZENIA</t>
  </si>
  <si>
    <t>SEKCJA 8 — DOTYCHCZASOWE UBEZPIECZENIE MIENIA</t>
  </si>
  <si>
    <t>Posiada aktualną polisę na mienie</t>
  </si>
  <si>
    <t>Towarzystwo ubezpieczeń</t>
  </si>
  <si>
    <t>np. PZU, Allianz, Warta</t>
  </si>
  <si>
    <t>Numer polisy</t>
  </si>
  <si>
    <t>Ważność polisy do</t>
  </si>
  <si>
    <t>Roczna składka (PLN)</t>
  </si>
  <si>
    <t>SEKCJA 9 — UWAGI ORAZ OŚWIADCZENIA</t>
  </si>
  <si>
    <t>Uwagi, opis działalności, pytania do agenta</t>
  </si>
  <si>
    <t>Oświadczam, że wszystkie informacje podane w niniejszym wniosku są zgodne z prawdą i odzwierciedlają rzeczywisty stan faktyczny.</t>
  </si>
  <si>
    <t>Wyrażam zgodę na przetwarzanie moich danych osobowych przez Aura Expert sp. z o.o. w celu przygotowania oferty ubezpieczenia, zgodnie z RODO.</t>
  </si>
  <si>
    <t>Miejscowość i data *</t>
  </si>
  <si>
    <t>Imię, nazwisko i podpis osoby uprawnionej *</t>
  </si>
  <si>
    <t>forma_prawna</t>
  </si>
  <si>
    <t>pracownicy</t>
  </si>
  <si>
    <t>obrot</t>
  </si>
  <si>
    <t>typ_lokalu</t>
  </si>
  <si>
    <t>material_scian</t>
  </si>
  <si>
    <t>pokrycie_dachu</t>
  </si>
  <si>
    <t>stan_techniczny</t>
  </si>
  <si>
    <t>ogrzewanie</t>
  </si>
  <si>
    <t>alarm_typ</t>
  </si>
  <si>
    <t>sejf_klasa</t>
  </si>
  <si>
    <t>lokalizacje</t>
  </si>
  <si>
    <t>Jednoosobowa działalność gospodarcza</t>
  </si>
  <si>
    <t>1</t>
  </si>
  <si>
    <t>do 200 tys. PLN</t>
  </si>
  <si>
    <t>Lokal usługowy</t>
  </si>
  <si>
    <t>Cegła / mur</t>
  </si>
  <si>
    <t>Papa / asfalt</t>
  </si>
  <si>
    <t>Bardzo dobry</t>
  </si>
  <si>
    <t>Centralne (sieciowe)</t>
  </si>
  <si>
    <t>Spółka cywilna</t>
  </si>
  <si>
    <t>2–5</t>
  </si>
  <si>
    <t>200–500 tys. PLN</t>
  </si>
  <si>
    <t>Budynek wolnostojący</t>
  </si>
  <si>
    <t>Żelbet / beton</t>
  </si>
  <si>
    <t>Dachówka ceramiczna</t>
  </si>
  <si>
    <t>Dobry</t>
  </si>
  <si>
    <t>Gazowe</t>
  </si>
  <si>
    <t>Lokalny (sygnał dźwiękowy)</t>
  </si>
  <si>
    <t>I</t>
  </si>
  <si>
    <t>Spółka z o.o.</t>
  </si>
  <si>
    <t>6–10</t>
  </si>
  <si>
    <t>500 tys. – 1 mln PLN</t>
  </si>
  <si>
    <t>Lokal w centrum handlowym</t>
  </si>
  <si>
    <t>Drewno / szkielet drewniany</t>
  </si>
  <si>
    <t>Blacha trapezowa / panele</t>
  </si>
  <si>
    <t>Dostateczny</t>
  </si>
  <si>
    <t>Elektryczne</t>
  </si>
  <si>
    <t>Monitoring przez stację (SMS)</t>
  </si>
  <si>
    <t>II</t>
  </si>
  <si>
    <t>Spółka akcyjna</t>
  </si>
  <si>
    <t>11–25</t>
  </si>
  <si>
    <t>1–3 mln PLN</t>
  </si>
  <si>
    <t>Dom jednorodzinny</t>
  </si>
  <si>
    <t>Gazobeton / bloczki</t>
  </si>
  <si>
    <t>Strop żelbetowy (flat)</t>
  </si>
  <si>
    <t>Wymaga remontu</t>
  </si>
  <si>
    <t>Olejowe</t>
  </si>
  <si>
    <t>Monitoring przez agencję ochrony</t>
  </si>
  <si>
    <t>III</t>
  </si>
  <si>
    <t>Spółka jawna</t>
  </si>
  <si>
    <t>26–50</t>
  </si>
  <si>
    <t>powyżej 3 mln PLN</t>
  </si>
  <si>
    <t>Inny</t>
  </si>
  <si>
    <t>Inne</t>
  </si>
  <si>
    <t>Pompą ciepła</t>
  </si>
  <si>
    <t>IV+</t>
  </si>
  <si>
    <t>Spółka komandytowa</t>
  </si>
  <si>
    <t>51+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</si>
</sst>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\ ##0&quot; PLN&quot;"/>
  </numFmts>
  <fonts count="9" x14ac:knownFonts="1">
    <font>
      <sz val="11"/>
      <color theme="1"/>
      <name val="Calibri"/>
      <family val="2"/>
      <scheme val="minor"/>
    </font>
    <font>
      <b/>
      <sz val="10"/>
      <color rgb="FF44403C"/>
      <name val="Calibri"/>
    </font>
    <font>
      <b/>
      <sz val="16"/>
      <color rgb="FF0F766E"/>
      <name val="Calibri"/>
    </font>
    <font>
      <sz val="10"/>
      <color rgb="FF78716C"/>
      <name val="Calibri"/>
    </font>
    <font>
      <b/>
      <sz val="11"/>
      <color rgb="FF0F766E"/>
      <name val="Calibri"/>
    </font>
    <font>
      <sz val="10"/>
      <color rgb="FF44403C"/>
      <name val="Calibri"/>
    </font>
    <font>
      <sz val="10"/>
      <color rgb="FF000000"/>
      <name val="Calibri"/>
    </font>
    <font>
      <i/>
      <sz val="9"/>
      <color rgb="FF78716C"/>
      <name val="Calibri"/>
    </font>
    <font>
      <b/>
      <sz val="9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BEB"/>
      </patternFill>
    </fill>
    <fill>
      <patternFill patternType="solid">
        <fgColor rgb="FFFFFFFF"/>
      </patternFill>
    </fill>
    <fill>
      <patternFill patternType="solid">
        <fgColor rgb="FFCCFBF1"/>
      </patternFill>
    </fill>
    <fill>
      <patternFill patternType="solid">
        <fgColor rgb="FFFAFAF9"/>
      </patternFill>
    </fill>
    <fill>
      <patternFill patternType="solid">
        <fgColor rgb="FF0D9488"/>
      </patternFill>
    </fill>
    <fill>
      <patternFill patternType="solid">
        <fgColor rgb="FFF0FDFA"/>
      </patternFill>
    </fill>
  </fills>
  <borders count="4">
    <border>
      <left/>
      <right/>
      <top/>
      <bottom/>
      <diagonal/>
    </border>
    <border>
      <left/>
      <right/>
      <top/>
      <bottom style="thin">
        <color rgb="FFCCFBF1"/>
      </bottom>
      <diagonal/>
    </border>
    <border>
      <left style="thin">
        <color rgb="FFE7E5E4"/>
      </left>
      <right style="thin">
        <color rgb="FFE7E5E4"/>
      </right>
      <top style="thin">
        <color rgb="FFE7E5E4"/>
      </top>
      <bottom style="thin">
        <color rgb="FFE7E5E4"/>
      </bottom>
      <diagonal/>
    </border>
    <border>
      <left style="thin">
        <color rgb="FFE7E5E4"/>
      </left>
      <right style="thin">
        <color rgb="FFE7E5E4"/>
      </right>
      <top style="medium">
        <color rgb="FF0D9488"/>
      </top>
      <bottom style="medium">
        <color rgb="FF0D9488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center" wrapText="1"/>
    </xf>
    <xf numFmtId="0" fontId="6" fillId="2" borderId="2" xfId="0" applyFont="1" applyFill="1" applyBorder="1" applyAlignment="1" applyProtection="1">
      <alignment horizontal="left" vertical="center"/>
      <protection locked="0"/>
    </xf>
    <xf numFmtId="0" fontId="7" fillId="0" borderId="0" xfId="0" applyFont="1" applyAlignment="1">
      <alignment vertical="center"/>
    </xf>
    <xf numFmtId="0" fontId="6" fillId="3" borderId="2" xfId="0" applyFont="1" applyFill="1" applyBorder="1" applyAlignment="1" applyProtection="1">
      <alignment horizontal="left" vertical="center"/>
      <protection locked="0"/>
    </xf>
    <xf numFmtId="0" fontId="6" fillId="3" borderId="2" xfId="0" applyFont="1" applyFill="1" applyBorder="1" applyAlignment="1" applyProtection="1">
      <alignment horizontal="center" vertical="center"/>
      <protection locked="0"/>
    </xf>
    <xf numFmtId="164" fontId="6" fillId="3" borderId="2" xfId="0" applyNumberFormat="1" applyFont="1" applyFill="1" applyBorder="1" applyAlignment="1" applyProtection="1">
      <alignment horizontal="right" vertical="center"/>
      <protection locked="0"/>
    </xf>
    <xf numFmtId="165" fontId="6" fillId="3" borderId="2" xfId="0" applyNumberFormat="1" applyFont="1" applyFill="1" applyBorder="1" applyAlignment="1" applyProtection="1">
      <alignment horizontal="right" vertical="center"/>
      <protection locked="0"/>
    </xf>
    <xf numFmtId="0" fontId="4" fillId="4" borderId="3" xfId="0" applyFont="1" applyFill="1" applyBorder="1"/>
    <xf numFmtId="165" fontId="4" fillId="4" borderId="3" xfId="0" applyNumberFormat="1" applyFont="1" applyFill="1" applyBorder="1" applyAlignment="1">
      <alignment horizontal="right" vertical="center"/>
    </xf>
    <xf numFmtId="165" fontId="6" fillId="5" borderId="2" xfId="0" applyNumberFormat="1" applyFont="1" applyFill="1" applyBorder="1" applyAlignment="1">
      <alignment horizontal="right" vertical="center"/>
    </xf>
    <xf numFmtId="0" fontId="7" fillId="0" borderId="0" xfId="0" applyFont="1"/>
    <xf numFmtId="0" fontId="8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left" vertical="center"/>
      <protection locked="0"/>
    </xf>
    <xf numFmtId="165" fontId="6" fillId="7" borderId="2" xfId="0" applyNumberFormat="1" applyFont="1" applyFill="1" applyBorder="1" applyAlignment="1" applyProtection="1">
      <alignment horizontal="right" vertical="center"/>
      <protection locked="0"/>
    </xf>
    <xf numFmtId="0" fontId="0" fillId="4" borderId="0" xfId="0" applyFill="1"/>
    <xf numFmtId="0" fontId="1" fillId="0" borderId="0" xfId="0" applyFont="1" applyAlignment="1">
      <alignment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vertical="center" indent="2"/>
    </xf>
    <xf numFmtId="0" fontId="5" fillId="0" borderId="2" xfId="0" applyFont="1" applyBorder="1" applyAlignment="1">
      <alignment vertical="center" wrapText="1"/>
    </xf>
    <xf numFmtId="165" fontId="1" fillId="7" borderId="2" xfId="0" applyNumberFormat="1" applyFont="1" applyFill="1" applyBorder="1" applyAlignment="1">
      <alignment horizontal="right" vertical="center"/>
    </xf>
    <xf numFmtId="0" fontId="4" fillId="4" borderId="3" xfId="0" applyFont="1" applyFill="1" applyBorder="1" applyAlignment="1">
      <alignment horizontal="right" vertical="center"/>
    </xf>
    <xf numFmtId="0" fontId="5" fillId="0" borderId="0" xfId="0" applyFont="1"/>
    <xf numFmtId="0" fontId="6" fillId="2" borderId="2" xfId="0" applyFont="1" applyFill="1" applyBorder="1" applyAlignment="1" applyProtection="1">
      <alignment horizontal="center" vertical="center"/>
      <protection locked="0"/>
    </xf>
    <xf numFmtId="0" fontId="1" fillId="0" borderId="0" xfId="0" applyFont="1"/>
    <xf numFmtId="0" fontId="4" fillId="0" borderId="1" xfId="0" applyFont="1" applyBorder="1" applyAlignment="1">
      <alignment vertical="center"/>
    </xf>
    <xf numFmtId="0" fontId="0" fillId="0" borderId="1" xfId="0" applyBorder="1"/>
    <xf numFmtId="0" fontId="2" fillId="0" borderId="0" xfId="0" applyFont="1"/>
    <xf numFmtId="0" fontId="0" fillId="0" borderId="0" xfId="0"/>
    <xf numFmtId="0" fontId="3" fillId="0" borderId="0" xfId="0" applyFont="1"/>
    <xf numFmtId="0" fontId="5" fillId="0" borderId="0" xfId="0" applyFont="1" applyAlignment="1">
      <alignment vertical="top" wrapText="1"/>
    </xf>
    <xf numFmtId="0" fontId="7" fillId="0" borderId="0" xfId="0" applyFont="1" applyAlignment="1">
      <alignment vertical="center" wrapText="1"/>
    </xf>
    <xf numFmtId="0" fontId="4" fillId="4" borderId="0" xfId="0" applyFont="1" applyFill="1" applyAlignment="1">
      <alignment horizontal="right" vertical="center"/>
    </xf>
    <xf numFmtId="0" fontId="0" fillId="4" borderId="0" xfId="0" applyFill="1"/>
    <xf numFmtId="0" fontId="5" fillId="0" borderId="0" xfId="0" applyFont="1" applyAlignment="1">
      <alignment vertical="center" wrapText="1"/>
    </xf>
    <xf numFmtId="0" fontId="6" fillId="3" borderId="2" xfId="0" applyFont="1" applyFill="1" applyBorder="1" applyAlignment="1" applyProtection="1">
      <alignment vertical="top" wrapText="1"/>
      <protection locked="0"/>
    </xf>
  </cellXfs>
  <cellStyles count="1">
    <cellStyle name="Normalny" xfId="0" builtinId="0"/>
  </cellStyles>
  <dxfs count="12">
    <dxf>
      <fill>
        <patternFill patternType="solid">
          <fgColor rgb="FFFEE2E2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E2E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9488"/>
    <pageSetUpPr fitToPage="1"/>
  </sheetPr>
  <dimension ref="B2:C26"/>
  <sheetViews>
    <sheetView showGridLines="0" workbookViewId="0"/>
  </sheetViews>
  <sheetFormatPr defaultRowHeight="15" x14ac:dyDescent="0.25"/>
  <cols>
    <col min="1" max="1" width="2" customWidth="1"/>
    <col min="2" max="2" width="30" customWidth="1"/>
    <col min="3" max="3" width="82" customWidth="1"/>
  </cols>
  <sheetData>
    <row r="2" spans="2:3" ht="24" customHeight="1" x14ac:dyDescent="0.35">
      <c r="B2" s="30" t="s">
        <v>0</v>
      </c>
      <c r="C2" s="31"/>
    </row>
    <row r="3" spans="2:3" x14ac:dyDescent="0.25">
      <c r="B3" s="32" t="s">
        <v>1</v>
      </c>
      <c r="C3" s="31"/>
    </row>
    <row r="5" spans="2:3" ht="20.100000000000001" customHeight="1" x14ac:dyDescent="0.25">
      <c r="B5" s="28" t="s">
        <v>2</v>
      </c>
      <c r="C5" s="29"/>
    </row>
    <row r="6" spans="2:3" ht="30" customHeight="1" x14ac:dyDescent="0.25">
      <c r="B6" s="1" t="s">
        <v>3</v>
      </c>
      <c r="C6" s="2" t="s">
        <v>4</v>
      </c>
    </row>
    <row r="7" spans="2:3" ht="30" customHeight="1" x14ac:dyDescent="0.25">
      <c r="B7" s="1" t="s">
        <v>5</v>
      </c>
      <c r="C7" s="2" t="s">
        <v>6</v>
      </c>
    </row>
    <row r="8" spans="2:3" ht="30" customHeight="1" x14ac:dyDescent="0.25">
      <c r="B8" s="1" t="s">
        <v>7</v>
      </c>
      <c r="C8" s="2" t="s">
        <v>8</v>
      </c>
    </row>
    <row r="9" spans="2:3" ht="30" customHeight="1" x14ac:dyDescent="0.25">
      <c r="B9" s="1" t="s">
        <v>9</v>
      </c>
      <c r="C9" s="2" t="s">
        <v>10</v>
      </c>
    </row>
    <row r="10" spans="2:3" ht="30" customHeight="1" x14ac:dyDescent="0.25">
      <c r="B10" s="1" t="s">
        <v>11</v>
      </c>
      <c r="C10" s="2" t="s">
        <v>12</v>
      </c>
    </row>
    <row r="11" spans="2:3" ht="30" customHeight="1" x14ac:dyDescent="0.25">
      <c r="B11" s="1" t="s">
        <v>13</v>
      </c>
      <c r="C11" s="2" t="s">
        <v>14</v>
      </c>
    </row>
    <row r="12" spans="2:3" ht="30" customHeight="1" x14ac:dyDescent="0.25">
      <c r="B12" s="1" t="s">
        <v>15</v>
      </c>
      <c r="C12" s="2" t="s">
        <v>16</v>
      </c>
    </row>
    <row r="13" spans="2:3" ht="30" customHeight="1" x14ac:dyDescent="0.25">
      <c r="B13" s="1" t="s">
        <v>17</v>
      </c>
      <c r="C13" s="2" t="s">
        <v>18</v>
      </c>
    </row>
    <row r="14" spans="2:3" ht="30" customHeight="1" x14ac:dyDescent="0.25">
      <c r="B14" s="1" t="s">
        <v>19</v>
      </c>
      <c r="C14" s="2" t="s">
        <v>20</v>
      </c>
    </row>
    <row r="16" spans="2:3" ht="20.100000000000001" customHeight="1" x14ac:dyDescent="0.25">
      <c r="B16" s="28" t="s">
        <v>21</v>
      </c>
      <c r="C16" s="29"/>
    </row>
    <row r="17" spans="2:3" ht="27.95" customHeight="1" x14ac:dyDescent="0.25">
      <c r="B17" s="1" t="s">
        <v>22</v>
      </c>
      <c r="C17" s="2" t="s">
        <v>23</v>
      </c>
    </row>
    <row r="18" spans="2:3" ht="27.95" customHeight="1" x14ac:dyDescent="0.25">
      <c r="B18" s="1" t="s">
        <v>24</v>
      </c>
      <c r="C18" s="2" t="s">
        <v>25</v>
      </c>
    </row>
    <row r="19" spans="2:3" ht="27.95" customHeight="1" x14ac:dyDescent="0.25">
      <c r="B19" s="1" t="s">
        <v>26</v>
      </c>
      <c r="C19" s="2" t="s">
        <v>27</v>
      </c>
    </row>
    <row r="20" spans="2:3" ht="27.95" customHeight="1" x14ac:dyDescent="0.25">
      <c r="B20" s="1" t="s">
        <v>28</v>
      </c>
      <c r="C20" s="2" t="s">
        <v>29</v>
      </c>
    </row>
    <row r="21" spans="2:3" ht="27.95" customHeight="1" x14ac:dyDescent="0.25">
      <c r="B21" s="1" t="s">
        <v>30</v>
      </c>
      <c r="C21" s="2" t="s">
        <v>31</v>
      </c>
    </row>
    <row r="22" spans="2:3" ht="27.95" customHeight="1" x14ac:dyDescent="0.25">
      <c r="B22" s="1" t="s">
        <v>32</v>
      </c>
      <c r="C22" s="2" t="s">
        <v>33</v>
      </c>
    </row>
    <row r="24" spans="2:3" ht="20.100000000000001" customHeight="1" x14ac:dyDescent="0.25">
      <c r="B24" s="28" t="s">
        <v>34</v>
      </c>
      <c r="C24" s="29"/>
    </row>
    <row r="25" spans="2:3" x14ac:dyDescent="0.25">
      <c r="B25" s="33" t="s">
        <v>35</v>
      </c>
      <c r="C25" s="31"/>
    </row>
    <row r="26" spans="2:3" x14ac:dyDescent="0.25">
      <c r="B26" s="31"/>
      <c r="C26" s="31"/>
    </row>
  </sheetData>
  <sheetProtection sheet="1" formatCells="0" formatColumns="0" formatRows="0"/>
  <mergeCells count="6">
    <mergeCell ref="B25:C26"/>
    <mergeCell ref="B24:C24"/>
    <mergeCell ref="B16:C16"/>
    <mergeCell ref="B2:C2"/>
    <mergeCell ref="B3:C3"/>
    <mergeCell ref="B5:C5"/>
  </mergeCells>
  <printOptions horizontalCentered="1"/>
  <pageMargins left="0.4" right="0.4" top="0.5" bottom="0.5" header="0.2" footer="0.2"/>
  <pageSetup paperSize="9" fitToHeight="0" orientation="landscape"/>
  <headerFooter>
    <oddFooter>&amp;L&amp;8 &amp;K78716CWniosek o ubezpieczenie majątkowe — Aura Expert&amp;R&amp;8 &amp;K78716C&amp;A — str. &amp;P z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D9488"/>
    <pageSetUpPr fitToPage="1"/>
  </sheetPr>
  <dimension ref="B2:D23"/>
  <sheetViews>
    <sheetView showGridLines="0" tabSelected="1" workbookViewId="0">
      <selection activeCell="C27" sqref="C27"/>
    </sheetView>
  </sheetViews>
  <sheetFormatPr defaultRowHeight="15" x14ac:dyDescent="0.25"/>
  <cols>
    <col min="1" max="1" width="2" customWidth="1"/>
    <col min="2" max="2" width="46" customWidth="1"/>
    <col min="3" max="3" width="38" customWidth="1"/>
    <col min="4" max="4" width="42" customWidth="1"/>
  </cols>
  <sheetData>
    <row r="2" spans="2:4" ht="24" customHeight="1" x14ac:dyDescent="0.35">
      <c r="B2" s="30" t="s">
        <v>0</v>
      </c>
      <c r="C2" s="31"/>
      <c r="D2" s="31"/>
    </row>
    <row r="3" spans="2:4" x14ac:dyDescent="0.25">
      <c r="B3" s="32" t="s">
        <v>36</v>
      </c>
      <c r="C3" s="31"/>
      <c r="D3" s="31"/>
    </row>
    <row r="5" spans="2:4" ht="20.100000000000001" customHeight="1" x14ac:dyDescent="0.25">
      <c r="B5" s="28" t="s">
        <v>37</v>
      </c>
      <c r="C5" s="29"/>
      <c r="D5" s="29"/>
    </row>
    <row r="6" spans="2:4" x14ac:dyDescent="0.25">
      <c r="B6" s="3" t="s">
        <v>38</v>
      </c>
      <c r="C6" s="4"/>
      <c r="D6" s="5" t="s">
        <v>39</v>
      </c>
    </row>
    <row r="7" spans="2:4" x14ac:dyDescent="0.25">
      <c r="B7" s="3" t="s">
        <v>40</v>
      </c>
      <c r="C7" s="6"/>
      <c r="D7" s="5" t="s">
        <v>41</v>
      </c>
    </row>
    <row r="8" spans="2:4" x14ac:dyDescent="0.25">
      <c r="B8" s="3" t="s">
        <v>42</v>
      </c>
      <c r="C8" s="6"/>
    </row>
    <row r="9" spans="2:4" x14ac:dyDescent="0.25">
      <c r="B9" s="3" t="s">
        <v>43</v>
      </c>
      <c r="C9" s="6"/>
    </row>
    <row r="10" spans="2:4" x14ac:dyDescent="0.25">
      <c r="B10" s="3" t="s">
        <v>44</v>
      </c>
      <c r="C10" s="6"/>
    </row>
    <row r="11" spans="2:4" x14ac:dyDescent="0.25">
      <c r="B11" s="3" t="s">
        <v>45</v>
      </c>
      <c r="C11" s="4"/>
      <c r="D11" s="5" t="s">
        <v>46</v>
      </c>
    </row>
    <row r="12" spans="2:4" x14ac:dyDescent="0.25">
      <c r="B12" s="3" t="s">
        <v>47</v>
      </c>
      <c r="C12" s="6"/>
      <c r="D12" s="5" t="s">
        <v>48</v>
      </c>
    </row>
    <row r="13" spans="2:4" x14ac:dyDescent="0.25">
      <c r="B13" s="3" t="s">
        <v>49</v>
      </c>
      <c r="C13" s="4"/>
      <c r="D13" s="5" t="s">
        <v>50</v>
      </c>
    </row>
    <row r="14" spans="2:4" x14ac:dyDescent="0.25">
      <c r="B14" s="3" t="s">
        <v>51</v>
      </c>
      <c r="C14" s="4"/>
      <c r="D14" s="5" t="s">
        <v>52</v>
      </c>
    </row>
    <row r="15" spans="2:4" x14ac:dyDescent="0.25">
      <c r="B15" s="3" t="s">
        <v>53</v>
      </c>
      <c r="C15" s="6"/>
    </row>
    <row r="16" spans="2:4" x14ac:dyDescent="0.25">
      <c r="B16" s="3" t="s">
        <v>54</v>
      </c>
      <c r="C16" s="6"/>
    </row>
    <row r="18" spans="2:4" ht="20.100000000000001" customHeight="1" x14ac:dyDescent="0.25">
      <c r="B18" s="28" t="s">
        <v>55</v>
      </c>
      <c r="C18" s="29"/>
      <c r="D18" s="29"/>
    </row>
    <row r="19" spans="2:4" x14ac:dyDescent="0.25">
      <c r="B19" s="3" t="s">
        <v>56</v>
      </c>
      <c r="C19" s="4"/>
      <c r="D19" s="5" t="s">
        <v>57</v>
      </c>
    </row>
    <row r="20" spans="2:4" x14ac:dyDescent="0.25">
      <c r="B20" s="3" t="s">
        <v>58</v>
      </c>
      <c r="C20" s="6"/>
    </row>
    <row r="21" spans="2:4" x14ac:dyDescent="0.25">
      <c r="B21" s="3" t="s">
        <v>59</v>
      </c>
      <c r="C21" s="6"/>
    </row>
    <row r="23" spans="2:4" x14ac:dyDescent="0.25">
      <c r="B23" s="34" t="s">
        <v>60</v>
      </c>
      <c r="C23" s="31"/>
      <c r="D23" s="31"/>
    </row>
  </sheetData>
  <sheetProtection sheet="1" formatCells="0" formatColumns="0" formatRows="0"/>
  <mergeCells count="5">
    <mergeCell ref="B3:D3"/>
    <mergeCell ref="B5:D5"/>
    <mergeCell ref="B23:D23"/>
    <mergeCell ref="B18:D18"/>
    <mergeCell ref="B2:D2"/>
  </mergeCells>
  <printOptions horizontalCentered="1"/>
  <pageMargins left="0.4" right="0.4" top="0.5" bottom="0.5" header="0.2" footer="0.2"/>
  <pageSetup paperSize="9" fitToHeight="0" orientation="landscape"/>
  <headerFooter>
    <oddFooter>&amp;L&amp;8 &amp;K78716CWniosek o ubezpieczenie majątkowe — Aura Expert&amp;R&amp;8 &amp;K78716C&amp;A — str. &amp;P z &amp;N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errorTitle="Nieprawidłowa wartość" error="Wybierz wartość z listy rozwijanej." xr:uid="{00000000-0002-0000-0100-000000000000}">
          <x14:formula1>
            <xm:f>_listy!$A$2:$A$8</xm:f>
          </x14:formula1>
          <xm:sqref>C10</xm:sqref>
        </x14:dataValidation>
        <x14:dataValidation type="list" allowBlank="1" errorTitle="Nieprawidłowa wartość" error="Wybierz wartość z listy rozwijanej." xr:uid="{00000000-0002-0000-0100-000001000000}">
          <x14:formula1>
            <xm:f>_listy!$B$2:$B$7</xm:f>
          </x14:formula1>
          <xm:sqref>C20</xm:sqref>
        </x14:dataValidation>
        <x14:dataValidation type="list" allowBlank="1" errorTitle="Nieprawidłowa wartość" error="Wybierz wartość z listy rozwijanej." xr:uid="{00000000-0002-0000-0100-000002000000}">
          <x14:formula1>
            <xm:f>_listy!$C$2:$C$6</xm:f>
          </x14:formula1>
          <xm:sqref>C21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D9488"/>
    <pageSetUpPr fitToPage="1"/>
  </sheetPr>
  <dimension ref="B2:D60"/>
  <sheetViews>
    <sheetView showGridLines="0" topLeftCell="A23" workbookViewId="0">
      <selection activeCell="G14" sqref="G14"/>
    </sheetView>
  </sheetViews>
  <sheetFormatPr defaultRowHeight="15" x14ac:dyDescent="0.25"/>
  <cols>
    <col min="1" max="1" width="2" customWidth="1"/>
    <col min="2" max="2" width="46" customWidth="1"/>
    <col min="3" max="3" width="38" customWidth="1"/>
    <col min="4" max="4" width="42" customWidth="1"/>
  </cols>
  <sheetData>
    <row r="2" spans="2:4" ht="24" customHeight="1" x14ac:dyDescent="0.35">
      <c r="B2" s="30" t="s">
        <v>61</v>
      </c>
      <c r="C2" s="31"/>
      <c r="D2" s="31"/>
    </row>
    <row r="3" spans="2:4" x14ac:dyDescent="0.25">
      <c r="B3" s="32" t="s">
        <v>62</v>
      </c>
      <c r="C3" s="31"/>
      <c r="D3" s="31"/>
    </row>
    <row r="5" spans="2:4" ht="20.100000000000001" customHeight="1" x14ac:dyDescent="0.25">
      <c r="B5" s="28" t="s">
        <v>63</v>
      </c>
      <c r="C5" s="29"/>
      <c r="D5" s="29"/>
    </row>
    <row r="6" spans="2:4" x14ac:dyDescent="0.25">
      <c r="B6" s="3" t="s">
        <v>64</v>
      </c>
      <c r="C6" s="6"/>
      <c r="D6" s="5" t="s">
        <v>65</v>
      </c>
    </row>
    <row r="7" spans="2:4" x14ac:dyDescent="0.25">
      <c r="B7" s="3" t="s">
        <v>66</v>
      </c>
      <c r="C7" s="4"/>
      <c r="D7" s="5" t="s">
        <v>67</v>
      </c>
    </row>
    <row r="8" spans="2:4" x14ac:dyDescent="0.25">
      <c r="B8" s="3" t="s">
        <v>68</v>
      </c>
      <c r="C8" s="6"/>
    </row>
    <row r="9" spans="2:4" x14ac:dyDescent="0.25">
      <c r="B9" s="3" t="s">
        <v>69</v>
      </c>
      <c r="C9" s="6"/>
      <c r="D9" s="5" t="s">
        <v>70</v>
      </c>
    </row>
    <row r="10" spans="2:4" x14ac:dyDescent="0.25">
      <c r="B10" s="3" t="s">
        <v>71</v>
      </c>
      <c r="C10" s="6"/>
      <c r="D10" s="5" t="s">
        <v>72</v>
      </c>
    </row>
    <row r="11" spans="2:4" x14ac:dyDescent="0.25">
      <c r="B11" s="3" t="s">
        <v>73</v>
      </c>
      <c r="C11" s="6"/>
      <c r="D11" s="5" t="s">
        <v>74</v>
      </c>
    </row>
    <row r="12" spans="2:4" x14ac:dyDescent="0.25">
      <c r="B12" s="3" t="s">
        <v>75</v>
      </c>
      <c r="C12" s="6"/>
      <c r="D12" s="5" t="s">
        <v>76</v>
      </c>
    </row>
    <row r="13" spans="2:4" x14ac:dyDescent="0.25">
      <c r="B13" s="3" t="s">
        <v>77</v>
      </c>
      <c r="C13" s="6"/>
    </row>
    <row r="14" spans="2:4" x14ac:dyDescent="0.25">
      <c r="B14" s="3" t="s">
        <v>78</v>
      </c>
      <c r="C14" s="6"/>
    </row>
    <row r="15" spans="2:4" x14ac:dyDescent="0.25">
      <c r="B15" s="3" t="s">
        <v>79</v>
      </c>
      <c r="C15" s="6"/>
    </row>
    <row r="16" spans="2:4" x14ac:dyDescent="0.25">
      <c r="B16" s="3" t="s">
        <v>80</v>
      </c>
      <c r="C16" s="6"/>
    </row>
    <row r="17" spans="2:4" x14ac:dyDescent="0.25">
      <c r="B17" s="3" t="s">
        <v>81</v>
      </c>
      <c r="C17" s="7" t="s">
        <v>82</v>
      </c>
    </row>
    <row r="18" spans="2:4" x14ac:dyDescent="0.25">
      <c r="B18" s="3" t="s">
        <v>83</v>
      </c>
      <c r="C18" s="7" t="s">
        <v>82</v>
      </c>
    </row>
    <row r="20" spans="2:4" ht="20.100000000000001" customHeight="1" x14ac:dyDescent="0.25">
      <c r="B20" s="28" t="s">
        <v>84</v>
      </c>
      <c r="C20" s="29"/>
      <c r="D20" s="29"/>
    </row>
    <row r="21" spans="2:4" x14ac:dyDescent="0.25">
      <c r="B21" s="3" t="s">
        <v>85</v>
      </c>
      <c r="C21" s="6"/>
      <c r="D21" s="5" t="s">
        <v>86</v>
      </c>
    </row>
    <row r="22" spans="2:4" x14ac:dyDescent="0.25">
      <c r="B22" s="3" t="s">
        <v>87</v>
      </c>
      <c r="C22" s="8"/>
      <c r="D22" s="5" t="s">
        <v>88</v>
      </c>
    </row>
    <row r="23" spans="2:4" x14ac:dyDescent="0.25">
      <c r="B23" s="3" t="s">
        <v>89</v>
      </c>
      <c r="C23" s="6"/>
      <c r="D23" s="5" t="s">
        <v>90</v>
      </c>
    </row>
    <row r="24" spans="2:4" x14ac:dyDescent="0.25">
      <c r="B24" s="3" t="s">
        <v>91</v>
      </c>
      <c r="C24" s="7" t="s">
        <v>82</v>
      </c>
    </row>
    <row r="25" spans="2:4" x14ac:dyDescent="0.25">
      <c r="B25" s="3" t="s">
        <v>92</v>
      </c>
      <c r="C25" s="7" t="s">
        <v>82</v>
      </c>
    </row>
    <row r="26" spans="2:4" x14ac:dyDescent="0.25">
      <c r="B26" s="3" t="s">
        <v>93</v>
      </c>
      <c r="C26" s="7" t="s">
        <v>82</v>
      </c>
    </row>
    <row r="27" spans="2:4" x14ac:dyDescent="0.25">
      <c r="B27" s="3" t="s">
        <v>94</v>
      </c>
      <c r="C27" s="7" t="s">
        <v>82</v>
      </c>
    </row>
    <row r="28" spans="2:4" x14ac:dyDescent="0.25">
      <c r="B28" s="3" t="s">
        <v>95</v>
      </c>
      <c r="C28" s="7" t="s">
        <v>82</v>
      </c>
    </row>
    <row r="30" spans="2:4" ht="20.100000000000001" customHeight="1" x14ac:dyDescent="0.25">
      <c r="B30" s="28" t="s">
        <v>96</v>
      </c>
      <c r="C30" s="29"/>
      <c r="D30" s="29"/>
    </row>
    <row r="31" spans="2:4" x14ac:dyDescent="0.25">
      <c r="B31" s="3" t="s">
        <v>97</v>
      </c>
      <c r="C31" s="6" t="s">
        <v>98</v>
      </c>
    </row>
    <row r="32" spans="2:4" x14ac:dyDescent="0.25">
      <c r="B32" s="3" t="s">
        <v>99</v>
      </c>
      <c r="C32" s="6"/>
      <c r="D32" s="5" t="s">
        <v>100</v>
      </c>
    </row>
    <row r="33" spans="2:4" x14ac:dyDescent="0.25">
      <c r="B33" s="3" t="s">
        <v>101</v>
      </c>
      <c r="C33" s="6" t="s">
        <v>98</v>
      </c>
    </row>
    <row r="34" spans="2:4" x14ac:dyDescent="0.25">
      <c r="B34" s="3" t="s">
        <v>102</v>
      </c>
      <c r="C34" s="7" t="s">
        <v>82</v>
      </c>
    </row>
    <row r="35" spans="2:4" x14ac:dyDescent="0.25">
      <c r="B35" s="3" t="s">
        <v>103</v>
      </c>
      <c r="C35" s="7" t="s">
        <v>82</v>
      </c>
    </row>
    <row r="36" spans="2:4" x14ac:dyDescent="0.25">
      <c r="B36" s="3" t="s">
        <v>104</v>
      </c>
      <c r="C36" s="7" t="s">
        <v>82</v>
      </c>
    </row>
    <row r="37" spans="2:4" x14ac:dyDescent="0.25">
      <c r="B37" s="3" t="s">
        <v>105</v>
      </c>
      <c r="C37" s="7" t="s">
        <v>82</v>
      </c>
    </row>
    <row r="38" spans="2:4" x14ac:dyDescent="0.25">
      <c r="B38" s="3" t="s">
        <v>106</v>
      </c>
      <c r="C38" s="7" t="s">
        <v>82</v>
      </c>
    </row>
    <row r="39" spans="2:4" x14ac:dyDescent="0.25">
      <c r="B39" s="3" t="s">
        <v>107</v>
      </c>
      <c r="C39" s="7" t="s">
        <v>82</v>
      </c>
    </row>
    <row r="40" spans="2:4" x14ac:dyDescent="0.25">
      <c r="B40" s="3" t="s">
        <v>108</v>
      </c>
      <c r="C40" s="7" t="s">
        <v>82</v>
      </c>
    </row>
    <row r="41" spans="2:4" x14ac:dyDescent="0.25">
      <c r="B41" s="3" t="s">
        <v>109</v>
      </c>
      <c r="C41" s="7" t="s">
        <v>82</v>
      </c>
    </row>
    <row r="42" spans="2:4" x14ac:dyDescent="0.25">
      <c r="B42" s="3" t="s">
        <v>110</v>
      </c>
      <c r="C42" s="7" t="s">
        <v>82</v>
      </c>
    </row>
    <row r="44" spans="2:4" ht="20.100000000000001" customHeight="1" x14ac:dyDescent="0.25">
      <c r="B44" s="28" t="s">
        <v>111</v>
      </c>
      <c r="C44" s="29"/>
      <c r="D44" s="29"/>
    </row>
    <row r="45" spans="2:4" x14ac:dyDescent="0.25">
      <c r="B45" s="34" t="s">
        <v>112</v>
      </c>
      <c r="C45" s="31"/>
      <c r="D45" s="31"/>
    </row>
    <row r="46" spans="2:4" x14ac:dyDescent="0.25">
      <c r="B46" s="3" t="s">
        <v>113</v>
      </c>
      <c r="C46" s="9"/>
    </row>
    <row r="47" spans="2:4" x14ac:dyDescent="0.25">
      <c r="B47" s="3" t="s">
        <v>114</v>
      </c>
      <c r="C47" s="9"/>
    </row>
    <row r="48" spans="2:4" x14ac:dyDescent="0.25">
      <c r="B48" s="3" t="s">
        <v>115</v>
      </c>
      <c r="C48" s="9"/>
    </row>
    <row r="49" spans="2:4" x14ac:dyDescent="0.25">
      <c r="B49" s="3" t="s">
        <v>116</v>
      </c>
      <c r="C49" s="9"/>
    </row>
    <row r="50" spans="2:4" x14ac:dyDescent="0.25">
      <c r="B50" s="3" t="s">
        <v>117</v>
      </c>
      <c r="C50" s="9"/>
    </row>
    <row r="51" spans="2:4" x14ac:dyDescent="0.25">
      <c r="B51" s="3" t="s">
        <v>118</v>
      </c>
      <c r="C51" s="9"/>
    </row>
    <row r="52" spans="2:4" x14ac:dyDescent="0.25">
      <c r="B52" s="3" t="s">
        <v>119</v>
      </c>
      <c r="C52" s="9"/>
    </row>
    <row r="53" spans="2:4" x14ac:dyDescent="0.25">
      <c r="B53" s="3" t="s">
        <v>120</v>
      </c>
      <c r="C53" s="9"/>
    </row>
    <row r="54" spans="2:4" x14ac:dyDescent="0.25">
      <c r="B54" s="3" t="s">
        <v>121</v>
      </c>
      <c r="C54" s="9"/>
    </row>
    <row r="55" spans="2:4" x14ac:dyDescent="0.25">
      <c r="B55" s="3" t="s">
        <v>122</v>
      </c>
      <c r="C55" s="9"/>
    </row>
    <row r="56" spans="2:4" x14ac:dyDescent="0.25">
      <c r="B56" s="10" t="s">
        <v>123</v>
      </c>
      <c r="C56" s="11">
        <f>SUM(C46:C55)</f>
        <v>0</v>
      </c>
    </row>
    <row r="58" spans="2:4" ht="20.100000000000001" customHeight="1" x14ac:dyDescent="0.25">
      <c r="B58" s="28" t="s">
        <v>124</v>
      </c>
      <c r="C58" s="29"/>
      <c r="D58" s="29"/>
    </row>
    <row r="59" spans="2:4" x14ac:dyDescent="0.25">
      <c r="B59" s="3" t="s">
        <v>125</v>
      </c>
      <c r="C59" s="12">
        <f>SUMIF('5. Sprzęt medyczny'!$C$8:$C$107,"Lokalizacja 1",'5. Sprzęt medyczny'!$I$8:$I$107)</f>
        <v>0</v>
      </c>
      <c r="D59" s="13" t="s">
        <v>126</v>
      </c>
    </row>
    <row r="60" spans="2:4" x14ac:dyDescent="0.25">
      <c r="B60" s="3" t="s">
        <v>127</v>
      </c>
      <c r="C60" s="12">
        <f>SUMIF('6. Elektronika EEI'!$C$8:$C$107,"Lokalizacja 1",'6. Elektronika EEI'!$H$8:$H$107)</f>
        <v>0</v>
      </c>
      <c r="D60" s="13" t="s">
        <v>128</v>
      </c>
    </row>
  </sheetData>
  <sheetProtection sheet="1" formatCells="0" formatColumns="0" formatRows="0"/>
  <mergeCells count="8">
    <mergeCell ref="B2:D2"/>
    <mergeCell ref="B20:D20"/>
    <mergeCell ref="B3:D3"/>
    <mergeCell ref="B5:D5"/>
    <mergeCell ref="B45:D45"/>
    <mergeCell ref="B58:D58"/>
    <mergeCell ref="B30:D30"/>
    <mergeCell ref="B44:D44"/>
  </mergeCells>
  <conditionalFormatting sqref="C50">
    <cfRule type="expression" dxfId="11" priority="4">
      <formula>AND($C$60&gt;0,ABS($C$60-$C$50)&gt;=1)</formula>
    </cfRule>
  </conditionalFormatting>
  <conditionalFormatting sqref="C51">
    <cfRule type="expression" dxfId="10" priority="2">
      <formula>AND($C$59&gt;0,ABS($C$59-$C$51)&gt;=1)</formula>
    </cfRule>
  </conditionalFormatting>
  <conditionalFormatting sqref="C59">
    <cfRule type="expression" dxfId="9" priority="1">
      <formula>AND($C$59&gt;0,ABS($C$59-$C$51)&gt;=1)</formula>
    </cfRule>
  </conditionalFormatting>
  <conditionalFormatting sqref="C60">
    <cfRule type="expression" dxfId="8" priority="3">
      <formula>AND($C$60&gt;0,ABS($C$60-$C$50)&gt;=1)</formula>
    </cfRule>
  </conditionalFormatting>
  <dataValidations count="5">
    <dataValidation type="whole" allowBlank="1" errorTitle="Nieprawidłowa wartość" error="Podaj liczbę z zakresu 0–100000." sqref="C10" xr:uid="{00000000-0002-0000-0200-000001000000}">
      <formula1>0</formula1>
      <formula2>100000</formula2>
    </dataValidation>
    <dataValidation type="whole" allowBlank="1" errorTitle="Nieprawidłowa wartość" error="Podaj liczbę z zakresu 1700–2100." sqref="C11:C12" xr:uid="{00000000-0002-0000-0200-000002000000}">
      <formula1>1700</formula1>
      <formula2>2100</formula2>
    </dataValidation>
    <dataValidation type="list" allowBlank="1" errorTitle="Nieprawidłowa wartość" error="Wybierz wartość z listy rozwijanej." sqref="C34:C42 C24:C28 C17:C18" xr:uid="{00000000-0002-0000-0200-000008000000}">
      <formula1>"TAK,NIE"</formula1>
    </dataValidation>
    <dataValidation type="whole" allowBlank="1" errorTitle="Nieprawidłowa wartość" error="Podaj liczbę z zakresu 0–9999." sqref="C21" xr:uid="{00000000-0002-0000-0200-00000A000000}">
      <formula1>0</formula1>
      <formula2>9999</formula2>
    </dataValidation>
    <dataValidation type="decimal" operator="greaterThanOrEqual" allowBlank="1" error="Podaj wartość nieujemną." sqref="C46:C55" xr:uid="{00000000-0002-0000-0200-00001B000000}">
      <formula1>0</formula1>
    </dataValidation>
  </dataValidations>
  <printOptions horizontalCentered="1"/>
  <pageMargins left="0.4" right="0.4" top="0.5" bottom="0.5" header="0.2" footer="0.2"/>
  <pageSetup paperSize="9" fitToHeight="0" orientation="landscape"/>
  <headerFooter>
    <oddFooter>&amp;L&amp;8 &amp;K78716CWniosek o ubezpieczenie majątkowe — Aura Expert&amp;R&amp;8 &amp;K78716C&amp;A — str. &amp;P z &amp;N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errorTitle="Nieprawidłowa wartość" error="Wybierz wartość z listy rozwijanej." xr:uid="{00000000-0002-0000-0200-000000000000}">
          <x14:formula1>
            <xm:f>_listy!$D$2:$D$6</xm:f>
          </x14:formula1>
          <xm:sqref>C8</xm:sqref>
        </x14:dataValidation>
        <x14:dataValidation type="list" allowBlank="1" errorTitle="Nieprawidłowa wartość" error="Wybierz wartość z listy rozwijanej." xr:uid="{00000000-0002-0000-0200-000004000000}">
          <x14:formula1>
            <xm:f>_listy!$E$2:$E$6</xm:f>
          </x14:formula1>
          <xm:sqref>C13</xm:sqref>
        </x14:dataValidation>
        <x14:dataValidation type="list" allowBlank="1" errorTitle="Nieprawidłowa wartość" error="Wybierz wartość z listy rozwijanej." xr:uid="{00000000-0002-0000-0200-000005000000}">
          <x14:formula1>
            <xm:f>_listy!$F$2:$F$6</xm:f>
          </x14:formula1>
          <xm:sqref>C14</xm:sqref>
        </x14:dataValidation>
        <x14:dataValidation type="list" allowBlank="1" errorTitle="Nieprawidłowa wartość" error="Wybierz wartość z listy rozwijanej." xr:uid="{00000000-0002-0000-0200-000006000000}">
          <x14:formula1>
            <xm:f>_listy!$G$2:$G$5</xm:f>
          </x14:formula1>
          <xm:sqref>C15</xm:sqref>
        </x14:dataValidation>
        <x14:dataValidation type="list" allowBlank="1" errorTitle="Nieprawidłowa wartość" error="Wybierz wartość z listy rozwijanej." xr:uid="{00000000-0002-0000-0200-000007000000}">
          <x14:formula1>
            <xm:f>_listy!$H$2:$H$7</xm:f>
          </x14:formula1>
          <xm:sqref>C16</xm:sqref>
        </x14:dataValidation>
        <x14:dataValidation type="list" allowBlank="1" errorTitle="Nieprawidłowa wartość" error="Wybierz wartość z listy rozwijanej." xr:uid="{00000000-0002-0000-0200-000010000000}">
          <x14:formula1>
            <xm:f>_listy!$I$2:$I$5</xm:f>
          </x14:formula1>
          <xm:sqref>C31</xm:sqref>
        </x14:dataValidation>
        <x14:dataValidation type="list" allowBlank="1" errorTitle="Nieprawidłowa wartość" error="Wybierz wartość z listy rozwijanej." xr:uid="{00000000-0002-0000-0200-000011000000}">
          <x14:formula1>
            <xm:f>_listy!$J$2:$J$6</xm:f>
          </x14:formula1>
          <xm:sqref>C33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D9488"/>
    <pageSetUpPr fitToPage="1"/>
  </sheetPr>
  <dimension ref="B2:D60"/>
  <sheetViews>
    <sheetView showGridLines="0" topLeftCell="A29" workbookViewId="0"/>
  </sheetViews>
  <sheetFormatPr defaultRowHeight="15" x14ac:dyDescent="0.25"/>
  <cols>
    <col min="1" max="1" width="2" customWidth="1"/>
    <col min="2" max="2" width="46" customWidth="1"/>
    <col min="3" max="3" width="38" customWidth="1"/>
    <col min="4" max="4" width="42" customWidth="1"/>
  </cols>
  <sheetData>
    <row r="2" spans="2:4" ht="24" customHeight="1" x14ac:dyDescent="0.35">
      <c r="B2" s="30" t="s">
        <v>129</v>
      </c>
      <c r="C2" s="31"/>
      <c r="D2" s="31"/>
    </row>
    <row r="3" spans="2:4" x14ac:dyDescent="0.25">
      <c r="B3" s="32" t="s">
        <v>130</v>
      </c>
      <c r="C3" s="31"/>
      <c r="D3" s="31"/>
    </row>
    <row r="5" spans="2:4" ht="20.100000000000001" customHeight="1" x14ac:dyDescent="0.25">
      <c r="B5" s="28" t="s">
        <v>63</v>
      </c>
      <c r="C5" s="29"/>
      <c r="D5" s="29"/>
    </row>
    <row r="6" spans="2:4" x14ac:dyDescent="0.25">
      <c r="B6" s="3" t="s">
        <v>64</v>
      </c>
      <c r="C6" s="6"/>
      <c r="D6" s="5" t="s">
        <v>65</v>
      </c>
    </row>
    <row r="7" spans="2:4" x14ac:dyDescent="0.25">
      <c r="B7" s="3" t="s">
        <v>131</v>
      </c>
      <c r="C7" s="6"/>
      <c r="D7" s="5" t="s">
        <v>67</v>
      </c>
    </row>
    <row r="8" spans="2:4" x14ac:dyDescent="0.25">
      <c r="B8" s="3" t="s">
        <v>68</v>
      </c>
      <c r="C8" s="6"/>
    </row>
    <row r="9" spans="2:4" x14ac:dyDescent="0.25">
      <c r="B9" s="3" t="s">
        <v>69</v>
      </c>
      <c r="C9" s="6"/>
      <c r="D9" s="5" t="s">
        <v>70</v>
      </c>
    </row>
    <row r="10" spans="2:4" x14ac:dyDescent="0.25">
      <c r="B10" s="3" t="s">
        <v>71</v>
      </c>
      <c r="C10" s="6"/>
      <c r="D10" s="5" t="s">
        <v>72</v>
      </c>
    </row>
    <row r="11" spans="2:4" x14ac:dyDescent="0.25">
      <c r="B11" s="3" t="s">
        <v>73</v>
      </c>
      <c r="C11" s="6"/>
      <c r="D11" s="5" t="s">
        <v>74</v>
      </c>
    </row>
    <row r="12" spans="2:4" x14ac:dyDescent="0.25">
      <c r="B12" s="3" t="s">
        <v>75</v>
      </c>
      <c r="C12" s="6"/>
      <c r="D12" s="5" t="s">
        <v>76</v>
      </c>
    </row>
    <row r="13" spans="2:4" x14ac:dyDescent="0.25">
      <c r="B13" s="3" t="s">
        <v>77</v>
      </c>
      <c r="C13" s="6"/>
    </row>
    <row r="14" spans="2:4" x14ac:dyDescent="0.25">
      <c r="B14" s="3" t="s">
        <v>78</v>
      </c>
      <c r="C14" s="6"/>
    </row>
    <row r="15" spans="2:4" x14ac:dyDescent="0.25">
      <c r="B15" s="3" t="s">
        <v>79</v>
      </c>
      <c r="C15" s="6"/>
    </row>
    <row r="16" spans="2:4" x14ac:dyDescent="0.25">
      <c r="B16" s="3" t="s">
        <v>80</v>
      </c>
      <c r="C16" s="6"/>
    </row>
    <row r="17" spans="2:4" x14ac:dyDescent="0.25">
      <c r="B17" s="3" t="s">
        <v>81</v>
      </c>
      <c r="C17" s="7" t="s">
        <v>82</v>
      </c>
    </row>
    <row r="18" spans="2:4" x14ac:dyDescent="0.25">
      <c r="B18" s="3" t="s">
        <v>83</v>
      </c>
      <c r="C18" s="7" t="s">
        <v>82</v>
      </c>
    </row>
    <row r="20" spans="2:4" ht="20.100000000000001" customHeight="1" x14ac:dyDescent="0.25">
      <c r="B20" s="28" t="s">
        <v>84</v>
      </c>
      <c r="C20" s="29"/>
      <c r="D20" s="29"/>
    </row>
    <row r="21" spans="2:4" x14ac:dyDescent="0.25">
      <c r="B21" s="3" t="s">
        <v>85</v>
      </c>
      <c r="C21" s="6"/>
      <c r="D21" s="5" t="s">
        <v>86</v>
      </c>
    </row>
    <row r="22" spans="2:4" x14ac:dyDescent="0.25">
      <c r="B22" s="3" t="s">
        <v>87</v>
      </c>
      <c r="C22" s="8"/>
      <c r="D22" s="5" t="s">
        <v>88</v>
      </c>
    </row>
    <row r="23" spans="2:4" x14ac:dyDescent="0.25">
      <c r="B23" s="3" t="s">
        <v>89</v>
      </c>
      <c r="C23" s="6"/>
      <c r="D23" s="5" t="s">
        <v>90</v>
      </c>
    </row>
    <row r="24" spans="2:4" x14ac:dyDescent="0.25">
      <c r="B24" s="3" t="s">
        <v>91</v>
      </c>
      <c r="C24" s="7" t="s">
        <v>82</v>
      </c>
    </row>
    <row r="25" spans="2:4" x14ac:dyDescent="0.25">
      <c r="B25" s="3" t="s">
        <v>92</v>
      </c>
      <c r="C25" s="7" t="s">
        <v>82</v>
      </c>
    </row>
    <row r="26" spans="2:4" x14ac:dyDescent="0.25">
      <c r="B26" s="3" t="s">
        <v>93</v>
      </c>
      <c r="C26" s="7" t="s">
        <v>82</v>
      </c>
    </row>
    <row r="27" spans="2:4" x14ac:dyDescent="0.25">
      <c r="B27" s="3" t="s">
        <v>94</v>
      </c>
      <c r="C27" s="7" t="s">
        <v>82</v>
      </c>
    </row>
    <row r="28" spans="2:4" x14ac:dyDescent="0.25">
      <c r="B28" s="3" t="s">
        <v>95</v>
      </c>
      <c r="C28" s="7" t="s">
        <v>82</v>
      </c>
    </row>
    <row r="30" spans="2:4" ht="20.100000000000001" customHeight="1" x14ac:dyDescent="0.25">
      <c r="B30" s="28" t="s">
        <v>96</v>
      </c>
      <c r="C30" s="29"/>
      <c r="D30" s="29"/>
    </row>
    <row r="31" spans="2:4" x14ac:dyDescent="0.25">
      <c r="B31" s="3" t="s">
        <v>97</v>
      </c>
      <c r="C31" s="6" t="s">
        <v>98</v>
      </c>
    </row>
    <row r="32" spans="2:4" x14ac:dyDescent="0.25">
      <c r="B32" s="3" t="s">
        <v>99</v>
      </c>
      <c r="C32" s="6"/>
      <c r="D32" s="5" t="s">
        <v>100</v>
      </c>
    </row>
    <row r="33" spans="2:4" x14ac:dyDescent="0.25">
      <c r="B33" s="3" t="s">
        <v>101</v>
      </c>
      <c r="C33" s="6" t="s">
        <v>98</v>
      </c>
    </row>
    <row r="34" spans="2:4" x14ac:dyDescent="0.25">
      <c r="B34" s="3" t="s">
        <v>102</v>
      </c>
      <c r="C34" s="7" t="s">
        <v>82</v>
      </c>
    </row>
    <row r="35" spans="2:4" x14ac:dyDescent="0.25">
      <c r="B35" s="3" t="s">
        <v>103</v>
      </c>
      <c r="C35" s="7" t="s">
        <v>82</v>
      </c>
    </row>
    <row r="36" spans="2:4" x14ac:dyDescent="0.25">
      <c r="B36" s="3" t="s">
        <v>104</v>
      </c>
      <c r="C36" s="7" t="s">
        <v>82</v>
      </c>
    </row>
    <row r="37" spans="2:4" x14ac:dyDescent="0.25">
      <c r="B37" s="3" t="s">
        <v>105</v>
      </c>
      <c r="C37" s="7" t="s">
        <v>82</v>
      </c>
    </row>
    <row r="38" spans="2:4" x14ac:dyDescent="0.25">
      <c r="B38" s="3" t="s">
        <v>106</v>
      </c>
      <c r="C38" s="7" t="s">
        <v>82</v>
      </c>
    </row>
    <row r="39" spans="2:4" x14ac:dyDescent="0.25">
      <c r="B39" s="3" t="s">
        <v>107</v>
      </c>
      <c r="C39" s="7" t="s">
        <v>82</v>
      </c>
    </row>
    <row r="40" spans="2:4" x14ac:dyDescent="0.25">
      <c r="B40" s="3" t="s">
        <v>108</v>
      </c>
      <c r="C40" s="7" t="s">
        <v>82</v>
      </c>
    </row>
    <row r="41" spans="2:4" x14ac:dyDescent="0.25">
      <c r="B41" s="3" t="s">
        <v>109</v>
      </c>
      <c r="C41" s="7" t="s">
        <v>82</v>
      </c>
    </row>
    <row r="42" spans="2:4" x14ac:dyDescent="0.25">
      <c r="B42" s="3" t="s">
        <v>110</v>
      </c>
      <c r="C42" s="7" t="s">
        <v>82</v>
      </c>
    </row>
    <row r="44" spans="2:4" ht="20.100000000000001" customHeight="1" x14ac:dyDescent="0.25">
      <c r="B44" s="28" t="s">
        <v>111</v>
      </c>
      <c r="C44" s="29"/>
      <c r="D44" s="29"/>
    </row>
    <row r="45" spans="2:4" x14ac:dyDescent="0.25">
      <c r="B45" s="34" t="s">
        <v>112</v>
      </c>
      <c r="C45" s="31"/>
      <c r="D45" s="31"/>
    </row>
    <row r="46" spans="2:4" x14ac:dyDescent="0.25">
      <c r="B46" s="3" t="s">
        <v>113</v>
      </c>
      <c r="C46" s="9"/>
    </row>
    <row r="47" spans="2:4" x14ac:dyDescent="0.25">
      <c r="B47" s="3" t="s">
        <v>114</v>
      </c>
      <c r="C47" s="9"/>
    </row>
    <row r="48" spans="2:4" x14ac:dyDescent="0.25">
      <c r="B48" s="3" t="s">
        <v>115</v>
      </c>
      <c r="C48" s="9"/>
    </row>
    <row r="49" spans="2:4" x14ac:dyDescent="0.25">
      <c r="B49" s="3" t="s">
        <v>116</v>
      </c>
      <c r="C49" s="9"/>
    </row>
    <row r="50" spans="2:4" x14ac:dyDescent="0.25">
      <c r="B50" s="3" t="s">
        <v>117</v>
      </c>
      <c r="C50" s="9"/>
    </row>
    <row r="51" spans="2:4" x14ac:dyDescent="0.25">
      <c r="B51" s="3" t="s">
        <v>118</v>
      </c>
      <c r="C51" s="9"/>
    </row>
    <row r="52" spans="2:4" x14ac:dyDescent="0.25">
      <c r="B52" s="3" t="s">
        <v>119</v>
      </c>
      <c r="C52" s="9"/>
    </row>
    <row r="53" spans="2:4" x14ac:dyDescent="0.25">
      <c r="B53" s="3" t="s">
        <v>120</v>
      </c>
      <c r="C53" s="9"/>
    </row>
    <row r="54" spans="2:4" x14ac:dyDescent="0.25">
      <c r="B54" s="3" t="s">
        <v>121</v>
      </c>
      <c r="C54" s="9"/>
    </row>
    <row r="55" spans="2:4" x14ac:dyDescent="0.25">
      <c r="B55" s="3" t="s">
        <v>122</v>
      </c>
      <c r="C55" s="9"/>
    </row>
    <row r="56" spans="2:4" x14ac:dyDescent="0.25">
      <c r="B56" s="10" t="s">
        <v>123</v>
      </c>
      <c r="C56" s="11">
        <f>SUM(C46:C55)</f>
        <v>0</v>
      </c>
    </row>
    <row r="58" spans="2:4" ht="20.100000000000001" customHeight="1" x14ac:dyDescent="0.25">
      <c r="B58" s="28" t="s">
        <v>124</v>
      </c>
      <c r="C58" s="29"/>
      <c r="D58" s="29"/>
    </row>
    <row r="59" spans="2:4" x14ac:dyDescent="0.25">
      <c r="B59" s="3" t="s">
        <v>125</v>
      </c>
      <c r="C59" s="12">
        <f>SUMIF('5. Sprzęt medyczny'!$C$8:$C$107,"Lokalizacja 2",'5. Sprzęt medyczny'!$I$8:$I$107)</f>
        <v>0</v>
      </c>
      <c r="D59" s="13" t="s">
        <v>126</v>
      </c>
    </row>
    <row r="60" spans="2:4" x14ac:dyDescent="0.25">
      <c r="B60" s="3" t="s">
        <v>127</v>
      </c>
      <c r="C60" s="12">
        <f>SUMIF('6. Elektronika EEI'!$C$8:$C$107,"Lokalizacja 2",'6. Elektronika EEI'!$H$8:$H$107)</f>
        <v>0</v>
      </c>
      <c r="D60" s="13" t="s">
        <v>128</v>
      </c>
    </row>
  </sheetData>
  <sheetProtection sheet="1" formatCells="0" formatColumns="0" formatRows="0"/>
  <mergeCells count="8">
    <mergeCell ref="B2:D2"/>
    <mergeCell ref="B20:D20"/>
    <mergeCell ref="B3:D3"/>
    <mergeCell ref="B5:D5"/>
    <mergeCell ref="B45:D45"/>
    <mergeCell ref="B58:D58"/>
    <mergeCell ref="B30:D30"/>
    <mergeCell ref="B44:D44"/>
  </mergeCells>
  <conditionalFormatting sqref="C50">
    <cfRule type="expression" dxfId="7" priority="4">
      <formula>AND($C$60&gt;0,ABS($C$60-$C$50)&gt;=1)</formula>
    </cfRule>
  </conditionalFormatting>
  <conditionalFormatting sqref="C51">
    <cfRule type="expression" dxfId="6" priority="2">
      <formula>AND($C$59&gt;0,ABS($C$59-$C$51)&gt;=1)</formula>
    </cfRule>
  </conditionalFormatting>
  <conditionalFormatting sqref="C59">
    <cfRule type="expression" dxfId="5" priority="1">
      <formula>AND($C$59&gt;0,ABS($C$59-$C$51)&gt;=1)</formula>
    </cfRule>
  </conditionalFormatting>
  <conditionalFormatting sqref="C60">
    <cfRule type="expression" dxfId="4" priority="3">
      <formula>AND($C$60&gt;0,ABS($C$60-$C$50)&gt;=1)</formula>
    </cfRule>
  </conditionalFormatting>
  <dataValidations count="5">
    <dataValidation type="whole" allowBlank="1" errorTitle="Nieprawidłowa wartość" error="Podaj liczbę z zakresu 0–100000." sqref="C10" xr:uid="{00000000-0002-0000-0300-000001000000}">
      <formula1>0</formula1>
      <formula2>100000</formula2>
    </dataValidation>
    <dataValidation type="whole" allowBlank="1" errorTitle="Nieprawidłowa wartość" error="Podaj liczbę z zakresu 1700–2100." sqref="C11:C12" xr:uid="{00000000-0002-0000-0300-000002000000}">
      <formula1>1700</formula1>
      <formula2>2100</formula2>
    </dataValidation>
    <dataValidation type="list" allowBlank="1" errorTitle="Nieprawidłowa wartość" error="Wybierz wartość z listy rozwijanej." sqref="C34:C42 C24:C28 C17:C18" xr:uid="{00000000-0002-0000-0300-000008000000}">
      <formula1>"TAK,NIE"</formula1>
    </dataValidation>
    <dataValidation type="whole" allowBlank="1" errorTitle="Nieprawidłowa wartość" error="Podaj liczbę z zakresu 0–9999." sqref="C21" xr:uid="{00000000-0002-0000-0300-00000A000000}">
      <formula1>0</formula1>
      <formula2>9999</formula2>
    </dataValidation>
    <dataValidation type="decimal" operator="greaterThanOrEqual" allowBlank="1" error="Podaj wartość nieujemną." sqref="C46:C55" xr:uid="{00000000-0002-0000-0300-00001B000000}">
      <formula1>0</formula1>
    </dataValidation>
  </dataValidations>
  <printOptions horizontalCentered="1"/>
  <pageMargins left="0.4" right="0.4" top="0.5" bottom="0.5" header="0.2" footer="0.2"/>
  <pageSetup paperSize="9" fitToHeight="0" orientation="landscape"/>
  <headerFooter>
    <oddFooter>&amp;L&amp;8 &amp;K78716CWniosek o ubezpieczenie majątkowe — Aura Expert&amp;R&amp;8 &amp;K78716C&amp;A — str. &amp;P z &amp;N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errorTitle="Nieprawidłowa wartość" error="Wybierz wartość z listy rozwijanej." xr:uid="{00000000-0002-0000-0300-000000000000}">
          <x14:formula1>
            <xm:f>_listy!$D$2:$D$6</xm:f>
          </x14:formula1>
          <xm:sqref>C8</xm:sqref>
        </x14:dataValidation>
        <x14:dataValidation type="list" allowBlank="1" errorTitle="Nieprawidłowa wartość" error="Wybierz wartość z listy rozwijanej." xr:uid="{00000000-0002-0000-0300-000004000000}">
          <x14:formula1>
            <xm:f>_listy!$E$2:$E$6</xm:f>
          </x14:formula1>
          <xm:sqref>C13</xm:sqref>
        </x14:dataValidation>
        <x14:dataValidation type="list" allowBlank="1" errorTitle="Nieprawidłowa wartość" error="Wybierz wartość z listy rozwijanej." xr:uid="{00000000-0002-0000-0300-000005000000}">
          <x14:formula1>
            <xm:f>_listy!$F$2:$F$6</xm:f>
          </x14:formula1>
          <xm:sqref>C14</xm:sqref>
        </x14:dataValidation>
        <x14:dataValidation type="list" allowBlank="1" errorTitle="Nieprawidłowa wartość" error="Wybierz wartość z listy rozwijanej." xr:uid="{00000000-0002-0000-0300-000006000000}">
          <x14:formula1>
            <xm:f>_listy!$G$2:$G$5</xm:f>
          </x14:formula1>
          <xm:sqref>C15</xm:sqref>
        </x14:dataValidation>
        <x14:dataValidation type="list" allowBlank="1" errorTitle="Nieprawidłowa wartość" error="Wybierz wartość z listy rozwijanej." xr:uid="{00000000-0002-0000-0300-000007000000}">
          <x14:formula1>
            <xm:f>_listy!$H$2:$H$7</xm:f>
          </x14:formula1>
          <xm:sqref>C16</xm:sqref>
        </x14:dataValidation>
        <x14:dataValidation type="list" allowBlank="1" errorTitle="Nieprawidłowa wartość" error="Wybierz wartość z listy rozwijanej." xr:uid="{00000000-0002-0000-0300-000010000000}">
          <x14:formula1>
            <xm:f>_listy!$I$2:$I$5</xm:f>
          </x14:formula1>
          <xm:sqref>C31</xm:sqref>
        </x14:dataValidation>
        <x14:dataValidation type="list" allowBlank="1" errorTitle="Nieprawidłowa wartość" error="Wybierz wartość z listy rozwijanej." xr:uid="{00000000-0002-0000-0300-000011000000}">
          <x14:formula1>
            <xm:f>_listy!$J$2:$J$6</xm:f>
          </x14:formula1>
          <xm:sqref>C33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D9488"/>
    <pageSetUpPr fitToPage="1"/>
  </sheetPr>
  <dimension ref="B2:D60"/>
  <sheetViews>
    <sheetView showGridLines="0" topLeftCell="A18" workbookViewId="0"/>
  </sheetViews>
  <sheetFormatPr defaultRowHeight="15" x14ac:dyDescent="0.25"/>
  <cols>
    <col min="1" max="1" width="2" customWidth="1"/>
    <col min="2" max="2" width="46" customWidth="1"/>
    <col min="3" max="3" width="38" customWidth="1"/>
    <col min="4" max="4" width="42" customWidth="1"/>
  </cols>
  <sheetData>
    <row r="2" spans="2:4" ht="24" customHeight="1" x14ac:dyDescent="0.35">
      <c r="B2" s="30" t="s">
        <v>132</v>
      </c>
      <c r="C2" s="31"/>
      <c r="D2" s="31"/>
    </row>
    <row r="3" spans="2:4" x14ac:dyDescent="0.25">
      <c r="B3" s="32" t="s">
        <v>133</v>
      </c>
      <c r="C3" s="31"/>
      <c r="D3" s="31"/>
    </row>
    <row r="5" spans="2:4" ht="20.100000000000001" customHeight="1" x14ac:dyDescent="0.25">
      <c r="B5" s="28" t="s">
        <v>63</v>
      </c>
      <c r="C5" s="29"/>
      <c r="D5" s="29"/>
    </row>
    <row r="6" spans="2:4" x14ac:dyDescent="0.25">
      <c r="B6" s="3" t="s">
        <v>64</v>
      </c>
      <c r="C6" s="6"/>
      <c r="D6" s="5" t="s">
        <v>65</v>
      </c>
    </row>
    <row r="7" spans="2:4" x14ac:dyDescent="0.25">
      <c r="B7" s="3" t="s">
        <v>131</v>
      </c>
      <c r="C7" s="6"/>
      <c r="D7" s="5" t="s">
        <v>67</v>
      </c>
    </row>
    <row r="8" spans="2:4" x14ac:dyDescent="0.25">
      <c r="B8" s="3" t="s">
        <v>68</v>
      </c>
      <c r="C8" s="6"/>
    </row>
    <row r="9" spans="2:4" x14ac:dyDescent="0.25">
      <c r="B9" s="3" t="s">
        <v>69</v>
      </c>
      <c r="C9" s="6"/>
      <c r="D9" s="5" t="s">
        <v>70</v>
      </c>
    </row>
    <row r="10" spans="2:4" x14ac:dyDescent="0.25">
      <c r="B10" s="3" t="s">
        <v>71</v>
      </c>
      <c r="C10" s="6"/>
      <c r="D10" s="5" t="s">
        <v>72</v>
      </c>
    </row>
    <row r="11" spans="2:4" x14ac:dyDescent="0.25">
      <c r="B11" s="3" t="s">
        <v>73</v>
      </c>
      <c r="C11" s="6"/>
      <c r="D11" s="5" t="s">
        <v>74</v>
      </c>
    </row>
    <row r="12" spans="2:4" x14ac:dyDescent="0.25">
      <c r="B12" s="3" t="s">
        <v>75</v>
      </c>
      <c r="C12" s="6"/>
      <c r="D12" s="5" t="s">
        <v>76</v>
      </c>
    </row>
    <row r="13" spans="2:4" x14ac:dyDescent="0.25">
      <c r="B13" s="3" t="s">
        <v>77</v>
      </c>
      <c r="C13" s="6"/>
    </row>
    <row r="14" spans="2:4" x14ac:dyDescent="0.25">
      <c r="B14" s="3" t="s">
        <v>78</v>
      </c>
      <c r="C14" s="6"/>
    </row>
    <row r="15" spans="2:4" x14ac:dyDescent="0.25">
      <c r="B15" s="3" t="s">
        <v>79</v>
      </c>
      <c r="C15" s="6"/>
    </row>
    <row r="16" spans="2:4" x14ac:dyDescent="0.25">
      <c r="B16" s="3" t="s">
        <v>80</v>
      </c>
      <c r="C16" s="6"/>
    </row>
    <row r="17" spans="2:4" x14ac:dyDescent="0.25">
      <c r="B17" s="3" t="s">
        <v>81</v>
      </c>
      <c r="C17" s="7" t="s">
        <v>82</v>
      </c>
    </row>
    <row r="18" spans="2:4" x14ac:dyDescent="0.25">
      <c r="B18" s="3" t="s">
        <v>83</v>
      </c>
      <c r="C18" s="7" t="s">
        <v>82</v>
      </c>
    </row>
    <row r="20" spans="2:4" ht="20.100000000000001" customHeight="1" x14ac:dyDescent="0.25">
      <c r="B20" s="28" t="s">
        <v>84</v>
      </c>
      <c r="C20" s="29"/>
      <c r="D20" s="29"/>
    </row>
    <row r="21" spans="2:4" x14ac:dyDescent="0.25">
      <c r="B21" s="3" t="s">
        <v>85</v>
      </c>
      <c r="C21" s="6"/>
      <c r="D21" s="5" t="s">
        <v>86</v>
      </c>
    </row>
    <row r="22" spans="2:4" x14ac:dyDescent="0.25">
      <c r="B22" s="3" t="s">
        <v>87</v>
      </c>
      <c r="C22" s="8"/>
      <c r="D22" s="5" t="s">
        <v>88</v>
      </c>
    </row>
    <row r="23" spans="2:4" x14ac:dyDescent="0.25">
      <c r="B23" s="3" t="s">
        <v>89</v>
      </c>
      <c r="C23" s="6"/>
      <c r="D23" s="5" t="s">
        <v>90</v>
      </c>
    </row>
    <row r="24" spans="2:4" x14ac:dyDescent="0.25">
      <c r="B24" s="3" t="s">
        <v>91</v>
      </c>
      <c r="C24" s="7" t="s">
        <v>82</v>
      </c>
    </row>
    <row r="25" spans="2:4" x14ac:dyDescent="0.25">
      <c r="B25" s="3" t="s">
        <v>92</v>
      </c>
      <c r="C25" s="7" t="s">
        <v>82</v>
      </c>
    </row>
    <row r="26" spans="2:4" x14ac:dyDescent="0.25">
      <c r="B26" s="3" t="s">
        <v>93</v>
      </c>
      <c r="C26" s="7" t="s">
        <v>82</v>
      </c>
    </row>
    <row r="27" spans="2:4" x14ac:dyDescent="0.25">
      <c r="B27" s="3" t="s">
        <v>94</v>
      </c>
      <c r="C27" s="7" t="s">
        <v>82</v>
      </c>
    </row>
    <row r="28" spans="2:4" x14ac:dyDescent="0.25">
      <c r="B28" s="3" t="s">
        <v>95</v>
      </c>
      <c r="C28" s="7" t="s">
        <v>82</v>
      </c>
    </row>
    <row r="30" spans="2:4" ht="20.100000000000001" customHeight="1" x14ac:dyDescent="0.25">
      <c r="B30" s="28" t="s">
        <v>96</v>
      </c>
      <c r="C30" s="29"/>
      <c r="D30" s="29"/>
    </row>
    <row r="31" spans="2:4" x14ac:dyDescent="0.25">
      <c r="B31" s="3" t="s">
        <v>97</v>
      </c>
      <c r="C31" s="6" t="s">
        <v>98</v>
      </c>
    </row>
    <row r="32" spans="2:4" x14ac:dyDescent="0.25">
      <c r="B32" s="3" t="s">
        <v>99</v>
      </c>
      <c r="C32" s="6"/>
      <c r="D32" s="5" t="s">
        <v>100</v>
      </c>
    </row>
    <row r="33" spans="2:4" x14ac:dyDescent="0.25">
      <c r="B33" s="3" t="s">
        <v>101</v>
      </c>
      <c r="C33" s="6" t="s">
        <v>98</v>
      </c>
    </row>
    <row r="34" spans="2:4" x14ac:dyDescent="0.25">
      <c r="B34" s="3" t="s">
        <v>102</v>
      </c>
      <c r="C34" s="7" t="s">
        <v>82</v>
      </c>
    </row>
    <row r="35" spans="2:4" x14ac:dyDescent="0.25">
      <c r="B35" s="3" t="s">
        <v>103</v>
      </c>
      <c r="C35" s="7" t="s">
        <v>82</v>
      </c>
    </row>
    <row r="36" spans="2:4" x14ac:dyDescent="0.25">
      <c r="B36" s="3" t="s">
        <v>104</v>
      </c>
      <c r="C36" s="7" t="s">
        <v>82</v>
      </c>
    </row>
    <row r="37" spans="2:4" x14ac:dyDescent="0.25">
      <c r="B37" s="3" t="s">
        <v>105</v>
      </c>
      <c r="C37" s="7" t="s">
        <v>82</v>
      </c>
    </row>
    <row r="38" spans="2:4" x14ac:dyDescent="0.25">
      <c r="B38" s="3" t="s">
        <v>106</v>
      </c>
      <c r="C38" s="7" t="s">
        <v>82</v>
      </c>
    </row>
    <row r="39" spans="2:4" x14ac:dyDescent="0.25">
      <c r="B39" s="3" t="s">
        <v>107</v>
      </c>
      <c r="C39" s="7" t="s">
        <v>82</v>
      </c>
    </row>
    <row r="40" spans="2:4" x14ac:dyDescent="0.25">
      <c r="B40" s="3" t="s">
        <v>108</v>
      </c>
      <c r="C40" s="7" t="s">
        <v>82</v>
      </c>
    </row>
    <row r="41" spans="2:4" x14ac:dyDescent="0.25">
      <c r="B41" s="3" t="s">
        <v>109</v>
      </c>
      <c r="C41" s="7" t="s">
        <v>82</v>
      </c>
    </row>
    <row r="42" spans="2:4" x14ac:dyDescent="0.25">
      <c r="B42" s="3" t="s">
        <v>110</v>
      </c>
      <c r="C42" s="7" t="s">
        <v>82</v>
      </c>
    </row>
    <row r="44" spans="2:4" ht="20.100000000000001" customHeight="1" x14ac:dyDescent="0.25">
      <c r="B44" s="28" t="s">
        <v>111</v>
      </c>
      <c r="C44" s="29"/>
      <c r="D44" s="29"/>
    </row>
    <row r="45" spans="2:4" x14ac:dyDescent="0.25">
      <c r="B45" s="34" t="s">
        <v>112</v>
      </c>
      <c r="C45" s="31"/>
      <c r="D45" s="31"/>
    </row>
    <row r="46" spans="2:4" x14ac:dyDescent="0.25">
      <c r="B46" s="3" t="s">
        <v>113</v>
      </c>
      <c r="C46" s="9"/>
    </row>
    <row r="47" spans="2:4" x14ac:dyDescent="0.25">
      <c r="B47" s="3" t="s">
        <v>114</v>
      </c>
      <c r="C47" s="9"/>
    </row>
    <row r="48" spans="2:4" x14ac:dyDescent="0.25">
      <c r="B48" s="3" t="s">
        <v>115</v>
      </c>
      <c r="C48" s="9"/>
    </row>
    <row r="49" spans="2:4" x14ac:dyDescent="0.25">
      <c r="B49" s="3" t="s">
        <v>116</v>
      </c>
      <c r="C49" s="9"/>
    </row>
    <row r="50" spans="2:4" x14ac:dyDescent="0.25">
      <c r="B50" s="3" t="s">
        <v>117</v>
      </c>
      <c r="C50" s="9"/>
    </row>
    <row r="51" spans="2:4" x14ac:dyDescent="0.25">
      <c r="B51" s="3" t="s">
        <v>118</v>
      </c>
      <c r="C51" s="9"/>
    </row>
    <row r="52" spans="2:4" x14ac:dyDescent="0.25">
      <c r="B52" s="3" t="s">
        <v>119</v>
      </c>
      <c r="C52" s="9"/>
    </row>
    <row r="53" spans="2:4" x14ac:dyDescent="0.25">
      <c r="B53" s="3" t="s">
        <v>120</v>
      </c>
      <c r="C53" s="9"/>
    </row>
    <row r="54" spans="2:4" x14ac:dyDescent="0.25">
      <c r="B54" s="3" t="s">
        <v>121</v>
      </c>
      <c r="C54" s="9"/>
    </row>
    <row r="55" spans="2:4" x14ac:dyDescent="0.25">
      <c r="B55" s="3" t="s">
        <v>122</v>
      </c>
      <c r="C55" s="9"/>
    </row>
    <row r="56" spans="2:4" x14ac:dyDescent="0.25">
      <c r="B56" s="10" t="s">
        <v>123</v>
      </c>
      <c r="C56" s="11">
        <f>SUM(C46:C55)</f>
        <v>0</v>
      </c>
    </row>
    <row r="58" spans="2:4" ht="20.100000000000001" customHeight="1" x14ac:dyDescent="0.25">
      <c r="B58" s="28" t="s">
        <v>124</v>
      </c>
      <c r="C58" s="29"/>
      <c r="D58" s="29"/>
    </row>
    <row r="59" spans="2:4" x14ac:dyDescent="0.25">
      <c r="B59" s="3" t="s">
        <v>125</v>
      </c>
      <c r="C59" s="12">
        <f>SUMIF('5. Sprzęt medyczny'!$C$8:$C$107,"Lokalizacja 3",'5. Sprzęt medyczny'!$I$8:$I$107)</f>
        <v>0</v>
      </c>
      <c r="D59" s="13" t="s">
        <v>126</v>
      </c>
    </row>
    <row r="60" spans="2:4" x14ac:dyDescent="0.25">
      <c r="B60" s="3" t="s">
        <v>127</v>
      </c>
      <c r="C60" s="12">
        <f>SUMIF('6. Elektronika EEI'!$C$8:$C$107,"Lokalizacja 3",'6. Elektronika EEI'!$H$8:$H$107)</f>
        <v>0</v>
      </c>
      <c r="D60" s="13" t="s">
        <v>128</v>
      </c>
    </row>
  </sheetData>
  <sheetProtection sheet="1" formatCells="0" formatColumns="0" formatRows="0"/>
  <mergeCells count="8">
    <mergeCell ref="B2:D2"/>
    <mergeCell ref="B20:D20"/>
    <mergeCell ref="B3:D3"/>
    <mergeCell ref="B5:D5"/>
    <mergeCell ref="B45:D45"/>
    <mergeCell ref="B58:D58"/>
    <mergeCell ref="B30:D30"/>
    <mergeCell ref="B44:D44"/>
  </mergeCells>
  <conditionalFormatting sqref="C50">
    <cfRule type="expression" dxfId="3" priority="4">
      <formula>AND($C$60&gt;0,ABS($C$60-$C$50)&gt;=1)</formula>
    </cfRule>
  </conditionalFormatting>
  <conditionalFormatting sqref="C51">
    <cfRule type="expression" dxfId="2" priority="2">
      <formula>AND($C$59&gt;0,ABS($C$59-$C$51)&gt;=1)</formula>
    </cfRule>
  </conditionalFormatting>
  <conditionalFormatting sqref="C59">
    <cfRule type="expression" dxfId="1" priority="1">
      <formula>AND($C$59&gt;0,ABS($C$59-$C$51)&gt;=1)</formula>
    </cfRule>
  </conditionalFormatting>
  <conditionalFormatting sqref="C60">
    <cfRule type="expression" dxfId="0" priority="3">
      <formula>AND($C$60&gt;0,ABS($C$60-$C$50)&gt;=1)</formula>
    </cfRule>
  </conditionalFormatting>
  <dataValidations count="5">
    <dataValidation type="whole" allowBlank="1" errorTitle="Nieprawidłowa wartość" error="Podaj liczbę z zakresu 0–100000." sqref="C10" xr:uid="{00000000-0002-0000-0400-000001000000}">
      <formula1>0</formula1>
      <formula2>100000</formula2>
    </dataValidation>
    <dataValidation type="whole" allowBlank="1" errorTitle="Nieprawidłowa wartość" error="Podaj liczbę z zakresu 1700–2100." sqref="C11:C12" xr:uid="{00000000-0002-0000-0400-000002000000}">
      <formula1>1700</formula1>
      <formula2>2100</formula2>
    </dataValidation>
    <dataValidation type="list" allowBlank="1" errorTitle="Nieprawidłowa wartość" error="Wybierz wartość z listy rozwijanej." sqref="C34:C42 C24:C28 C17:C18" xr:uid="{00000000-0002-0000-0400-000008000000}">
      <formula1>"TAK,NIE"</formula1>
    </dataValidation>
    <dataValidation type="whole" allowBlank="1" errorTitle="Nieprawidłowa wartość" error="Podaj liczbę z zakresu 0–9999." sqref="C21" xr:uid="{00000000-0002-0000-0400-00000A000000}">
      <formula1>0</formula1>
      <formula2>9999</formula2>
    </dataValidation>
    <dataValidation type="decimal" operator="greaterThanOrEqual" allowBlank="1" error="Podaj wartość nieujemną." sqref="C46:C55" xr:uid="{00000000-0002-0000-0400-00001B000000}">
      <formula1>0</formula1>
    </dataValidation>
  </dataValidations>
  <printOptions horizontalCentered="1"/>
  <pageMargins left="0.4" right="0.4" top="0.5" bottom="0.5" header="0.2" footer="0.2"/>
  <pageSetup paperSize="9" fitToHeight="0" orientation="landscape"/>
  <headerFooter>
    <oddFooter>&amp;L&amp;8 &amp;K78716CWniosek o ubezpieczenie majątkowe — Aura Expert&amp;R&amp;8 &amp;K78716C&amp;A — str. &amp;P z &amp;N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errorTitle="Nieprawidłowa wartość" error="Wybierz wartość z listy rozwijanej." xr:uid="{00000000-0002-0000-0400-000000000000}">
          <x14:formula1>
            <xm:f>_listy!$D$2:$D$6</xm:f>
          </x14:formula1>
          <xm:sqref>C8</xm:sqref>
        </x14:dataValidation>
        <x14:dataValidation type="list" allowBlank="1" errorTitle="Nieprawidłowa wartość" error="Wybierz wartość z listy rozwijanej." xr:uid="{00000000-0002-0000-0400-000004000000}">
          <x14:formula1>
            <xm:f>_listy!$E$2:$E$6</xm:f>
          </x14:formula1>
          <xm:sqref>C13</xm:sqref>
        </x14:dataValidation>
        <x14:dataValidation type="list" allowBlank="1" errorTitle="Nieprawidłowa wartość" error="Wybierz wartość z listy rozwijanej." xr:uid="{00000000-0002-0000-0400-000005000000}">
          <x14:formula1>
            <xm:f>_listy!$F$2:$F$6</xm:f>
          </x14:formula1>
          <xm:sqref>C14</xm:sqref>
        </x14:dataValidation>
        <x14:dataValidation type="list" allowBlank="1" errorTitle="Nieprawidłowa wartość" error="Wybierz wartość z listy rozwijanej." xr:uid="{00000000-0002-0000-0400-000006000000}">
          <x14:formula1>
            <xm:f>_listy!$G$2:$G$5</xm:f>
          </x14:formula1>
          <xm:sqref>C15</xm:sqref>
        </x14:dataValidation>
        <x14:dataValidation type="list" allowBlank="1" errorTitle="Nieprawidłowa wartość" error="Wybierz wartość z listy rozwijanej." xr:uid="{00000000-0002-0000-0400-000007000000}">
          <x14:formula1>
            <xm:f>_listy!$H$2:$H$7</xm:f>
          </x14:formula1>
          <xm:sqref>C16</xm:sqref>
        </x14:dataValidation>
        <x14:dataValidation type="list" allowBlank="1" errorTitle="Nieprawidłowa wartość" error="Wybierz wartość z listy rozwijanej." xr:uid="{00000000-0002-0000-0400-000010000000}">
          <x14:formula1>
            <xm:f>_listy!$I$2:$I$5</xm:f>
          </x14:formula1>
          <xm:sqref>C31</xm:sqref>
        </x14:dataValidation>
        <x14:dataValidation type="list" allowBlank="1" errorTitle="Nieprawidłowa wartość" error="Wybierz wartość z listy rozwijanej." xr:uid="{00000000-0002-0000-0400-000011000000}">
          <x14:formula1>
            <xm:f>_listy!$J$2:$J$6</xm:f>
          </x14:formula1>
          <xm:sqref>C33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D9488"/>
    <pageSetUpPr fitToPage="1"/>
  </sheetPr>
  <dimension ref="B2:K18"/>
  <sheetViews>
    <sheetView showGridLines="0" workbookViewId="0">
      <pane ySplit="7" topLeftCell="A8" activePane="bottomLeft" state="frozen"/>
      <selection pane="bottomLeft" activeCell="G22" sqref="G22"/>
    </sheetView>
  </sheetViews>
  <sheetFormatPr defaultRowHeight="15" x14ac:dyDescent="0.25"/>
  <cols>
    <col min="1" max="1" width="2" customWidth="1"/>
    <col min="2" max="2" width="6" customWidth="1"/>
    <col min="3" max="3" width="18" customWidth="1"/>
    <col min="4" max="4" width="30" customWidth="1"/>
    <col min="5" max="7" width="18" customWidth="1"/>
    <col min="8" max="8" width="11" customWidth="1"/>
    <col min="9" max="9" width="16" customWidth="1"/>
    <col min="10" max="10" width="10" customWidth="1"/>
    <col min="11" max="11" width="30" customWidth="1"/>
  </cols>
  <sheetData>
    <row r="2" spans="2:11" ht="24" customHeight="1" x14ac:dyDescent="0.35">
      <c r="B2" s="30" t="s">
        <v>0</v>
      </c>
      <c r="C2" s="31"/>
      <c r="D2" s="31"/>
      <c r="E2" s="31"/>
      <c r="F2" s="31"/>
      <c r="G2" s="31"/>
      <c r="H2" s="31"/>
      <c r="I2" s="31"/>
      <c r="J2" s="31"/>
      <c r="K2" s="31"/>
    </row>
    <row r="3" spans="2:11" x14ac:dyDescent="0.25">
      <c r="B3" s="32" t="s">
        <v>134</v>
      </c>
      <c r="C3" s="31"/>
      <c r="D3" s="31"/>
      <c r="E3" s="31"/>
      <c r="F3" s="31"/>
      <c r="G3" s="31"/>
      <c r="H3" s="31"/>
      <c r="I3" s="31"/>
      <c r="J3" s="31"/>
      <c r="K3" s="31"/>
    </row>
    <row r="5" spans="2:11" x14ac:dyDescent="0.25">
      <c r="B5" s="34" t="s">
        <v>135</v>
      </c>
      <c r="C5" s="31"/>
      <c r="D5" s="31"/>
      <c r="E5" s="31"/>
      <c r="F5" s="31"/>
      <c r="G5" s="31"/>
      <c r="H5" s="31"/>
      <c r="I5" s="31"/>
      <c r="J5" s="31"/>
      <c r="K5" s="31"/>
    </row>
    <row r="7" spans="2:11" ht="27.95" customHeight="1" x14ac:dyDescent="0.25">
      <c r="B7" s="14" t="s">
        <v>136</v>
      </c>
      <c r="C7" s="14" t="s">
        <v>137</v>
      </c>
      <c r="D7" s="14" t="s">
        <v>138</v>
      </c>
      <c r="E7" s="14" t="s">
        <v>139</v>
      </c>
      <c r="F7" s="14" t="s">
        <v>140</v>
      </c>
      <c r="G7" s="14" t="s">
        <v>141</v>
      </c>
      <c r="H7" s="14" t="s">
        <v>142</v>
      </c>
      <c r="I7" s="14" t="s">
        <v>143</v>
      </c>
      <c r="J7" s="14" t="s">
        <v>144</v>
      </c>
      <c r="K7" s="14" t="s">
        <v>145</v>
      </c>
    </row>
    <row r="8" spans="2:11" ht="18" customHeight="1" x14ac:dyDescent="0.25">
      <c r="B8" s="15">
        <v>1</v>
      </c>
      <c r="C8" s="16"/>
      <c r="D8" s="16"/>
      <c r="E8" s="16"/>
      <c r="F8" s="16"/>
      <c r="G8" s="16"/>
      <c r="H8" s="16"/>
      <c r="I8" s="17"/>
      <c r="J8" s="16"/>
      <c r="K8" s="16"/>
    </row>
    <row r="9" spans="2:11" ht="18" customHeight="1" x14ac:dyDescent="0.25">
      <c r="B9" s="7">
        <v>2</v>
      </c>
      <c r="C9" s="6"/>
      <c r="D9" s="6"/>
      <c r="E9" s="6"/>
      <c r="F9" s="6"/>
      <c r="G9" s="6"/>
      <c r="H9" s="6"/>
      <c r="I9" s="9"/>
      <c r="J9" s="6"/>
      <c r="K9" s="6"/>
    </row>
    <row r="10" spans="2:11" ht="18" customHeight="1" x14ac:dyDescent="0.25">
      <c r="B10" s="15">
        <v>3</v>
      </c>
      <c r="C10" s="16"/>
      <c r="D10" s="16"/>
      <c r="E10" s="16"/>
      <c r="F10" s="16"/>
      <c r="G10" s="16"/>
      <c r="H10" s="16"/>
      <c r="I10" s="17"/>
      <c r="J10" s="16"/>
      <c r="K10" s="16"/>
    </row>
    <row r="11" spans="2:11" ht="18" customHeight="1" x14ac:dyDescent="0.25">
      <c r="B11" s="7">
        <v>4</v>
      </c>
      <c r="C11" s="6"/>
      <c r="D11" s="6"/>
      <c r="E11" s="6"/>
      <c r="F11" s="6"/>
      <c r="G11" s="6"/>
      <c r="H11" s="6"/>
      <c r="I11" s="9"/>
      <c r="J11" s="6"/>
      <c r="K11" s="6"/>
    </row>
    <row r="12" spans="2:11" ht="18" customHeight="1" x14ac:dyDescent="0.25">
      <c r="B12" s="15">
        <v>5</v>
      </c>
      <c r="C12" s="16"/>
      <c r="D12" s="16"/>
      <c r="E12" s="16"/>
      <c r="F12" s="16"/>
      <c r="G12" s="16"/>
      <c r="H12" s="16"/>
      <c r="I12" s="17"/>
      <c r="J12" s="16"/>
      <c r="K12" s="16"/>
    </row>
    <row r="13" spans="2:11" ht="18" customHeight="1" x14ac:dyDescent="0.25">
      <c r="B13" s="7">
        <v>6</v>
      </c>
      <c r="C13" s="6"/>
      <c r="D13" s="6"/>
      <c r="E13" s="6"/>
      <c r="F13" s="6"/>
      <c r="G13" s="6"/>
      <c r="H13" s="6"/>
      <c r="I13" s="9"/>
      <c r="J13" s="6"/>
      <c r="K13" s="6"/>
    </row>
    <row r="14" spans="2:11" ht="18" customHeight="1" x14ac:dyDescent="0.25">
      <c r="B14" s="15">
        <v>7</v>
      </c>
      <c r="C14" s="16"/>
      <c r="D14" s="16"/>
      <c r="E14" s="16"/>
      <c r="F14" s="16"/>
      <c r="G14" s="16"/>
      <c r="H14" s="16"/>
      <c r="I14" s="17"/>
      <c r="J14" s="16"/>
      <c r="K14" s="16"/>
    </row>
    <row r="15" spans="2:11" ht="18" customHeight="1" x14ac:dyDescent="0.25">
      <c r="B15" s="7">
        <v>8</v>
      </c>
      <c r="C15" s="6"/>
      <c r="D15" s="6"/>
      <c r="E15" s="6"/>
      <c r="F15" s="6"/>
      <c r="G15" s="6"/>
      <c r="H15" s="6"/>
      <c r="I15" s="9"/>
      <c r="J15" s="6"/>
      <c r="K15" s="6"/>
    </row>
    <row r="16" spans="2:11" ht="18" customHeight="1" x14ac:dyDescent="0.25">
      <c r="B16" s="15">
        <v>9</v>
      </c>
      <c r="C16" s="16"/>
      <c r="D16" s="16"/>
      <c r="E16" s="16"/>
      <c r="F16" s="16"/>
      <c r="G16" s="16"/>
      <c r="H16" s="16"/>
      <c r="I16" s="17"/>
      <c r="J16" s="16"/>
      <c r="K16" s="16"/>
    </row>
    <row r="17" spans="2:11" ht="18" customHeight="1" x14ac:dyDescent="0.25">
      <c r="B17" s="7">
        <v>10</v>
      </c>
      <c r="C17" s="6"/>
      <c r="D17" s="6"/>
      <c r="E17" s="6"/>
      <c r="F17" s="6"/>
      <c r="G17" s="6"/>
      <c r="H17" s="6"/>
      <c r="I17" s="9"/>
      <c r="J17" s="6"/>
      <c r="K17" s="6"/>
    </row>
    <row r="18" spans="2:11" x14ac:dyDescent="0.25">
      <c r="B18" s="35" t="s">
        <v>146</v>
      </c>
      <c r="C18" s="36"/>
      <c r="D18" s="36"/>
      <c r="E18" s="36"/>
      <c r="F18" s="36"/>
      <c r="G18" s="36"/>
      <c r="H18" s="36"/>
      <c r="I18" s="11">
        <f>SUM(I8:I17)</f>
        <v>0</v>
      </c>
      <c r="J18" s="18"/>
      <c r="K18" s="18"/>
    </row>
  </sheetData>
  <sheetProtection sheet="1" formatCells="0" formatColumns="0" formatRows="0" insertRows="0" sort="0" autoFilter="0"/>
  <mergeCells count="4">
    <mergeCell ref="B18:H18"/>
    <mergeCell ref="B3:K3"/>
    <mergeCell ref="B5:K5"/>
    <mergeCell ref="B2:K2"/>
  </mergeCells>
  <dataValidations count="1">
    <dataValidation type="list" allowBlank="1" errorTitle="Nieprawidłowa wartość" error="Wybierz wartość z listy rozwijanej." sqref="J8 J9 J10 J11 J12 J13 J14 J15 J16 J17" xr:uid="{00000000-0002-0000-0500-000001000000}">
      <formula1>"TAK,NIE"</formula1>
    </dataValidation>
  </dataValidations>
  <printOptions horizontalCentered="1"/>
  <pageMargins left="0.4" right="0.4" top="0.5" bottom="0.5" header="0.2" footer="0.2"/>
  <pageSetup paperSize="9" fitToHeight="0" orientation="landscape"/>
  <headerFooter>
    <oddFooter>&amp;L&amp;8 &amp;K78716CWniosek o ubezpieczenie majątkowe — Aura Expert&amp;R&amp;8 &amp;K78716C&amp;A — str. &amp;P z &amp;N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Nieprawidłowa wartość" error="Wybierz wartość z listy rozwijanej." xr:uid="{00000000-0002-0000-0500-000000000000}">
          <x14:formula1>
            <xm:f>_listy!$K$2:$K$4</xm:f>
          </x14:formula1>
          <xm:sqref>C8 C9 C10 C11 C12 C13 C14 C15 C16 C17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D9488"/>
    <pageSetUpPr fitToPage="1"/>
  </sheetPr>
  <dimension ref="B2:J18"/>
  <sheetViews>
    <sheetView showGridLines="0" workbookViewId="0">
      <pane ySplit="7" topLeftCell="A8" activePane="bottomLeft" state="frozen"/>
      <selection pane="bottomLeft" activeCell="B3" sqref="B3:J3"/>
    </sheetView>
  </sheetViews>
  <sheetFormatPr defaultRowHeight="15" x14ac:dyDescent="0.25"/>
  <cols>
    <col min="1" max="1" width="2" customWidth="1"/>
    <col min="2" max="2" width="6" customWidth="1"/>
    <col min="3" max="3" width="18" customWidth="1"/>
    <col min="4" max="4" width="30" customWidth="1"/>
    <col min="5" max="6" width="18" customWidth="1"/>
    <col min="7" max="7" width="11" customWidth="1"/>
    <col min="8" max="8" width="16" customWidth="1"/>
    <col min="9" max="9" width="18" customWidth="1"/>
    <col min="10" max="10" width="30" customWidth="1"/>
  </cols>
  <sheetData>
    <row r="2" spans="2:10" ht="24" customHeight="1" x14ac:dyDescent="0.35">
      <c r="B2" s="30" t="s">
        <v>0</v>
      </c>
      <c r="C2" s="31"/>
      <c r="D2" s="31"/>
      <c r="E2" s="31"/>
      <c r="F2" s="31"/>
      <c r="G2" s="31"/>
      <c r="H2" s="31"/>
      <c r="I2" s="31"/>
      <c r="J2" s="31"/>
    </row>
    <row r="3" spans="2:10" x14ac:dyDescent="0.25">
      <c r="B3" s="32" t="s">
        <v>147</v>
      </c>
      <c r="C3" s="31"/>
      <c r="D3" s="31"/>
      <c r="E3" s="31"/>
      <c r="F3" s="31"/>
      <c r="G3" s="31"/>
      <c r="H3" s="31"/>
      <c r="I3" s="31"/>
      <c r="J3" s="31"/>
    </row>
    <row r="5" spans="2:10" x14ac:dyDescent="0.25">
      <c r="B5" s="34" t="s">
        <v>148</v>
      </c>
      <c r="C5" s="31"/>
      <c r="D5" s="31"/>
      <c r="E5" s="31"/>
      <c r="F5" s="31"/>
      <c r="G5" s="31"/>
      <c r="H5" s="31"/>
      <c r="I5" s="31"/>
      <c r="J5" s="31"/>
    </row>
    <row r="7" spans="2:10" ht="27.95" customHeight="1" x14ac:dyDescent="0.25">
      <c r="B7" s="14" t="s">
        <v>136</v>
      </c>
      <c r="C7" s="14" t="s">
        <v>137</v>
      </c>
      <c r="D7" s="14" t="s">
        <v>138</v>
      </c>
      <c r="E7" s="14" t="s">
        <v>139</v>
      </c>
      <c r="F7" s="14" t="s">
        <v>140</v>
      </c>
      <c r="G7" s="14" t="s">
        <v>142</v>
      </c>
      <c r="H7" s="14" t="s">
        <v>143</v>
      </c>
      <c r="I7" s="14" t="s">
        <v>141</v>
      </c>
      <c r="J7" s="14" t="s">
        <v>145</v>
      </c>
    </row>
    <row r="8" spans="2:10" ht="18" customHeight="1" x14ac:dyDescent="0.25">
      <c r="B8" s="15">
        <v>1</v>
      </c>
      <c r="C8" s="16"/>
      <c r="D8" s="16"/>
      <c r="E8" s="16"/>
      <c r="F8" s="16"/>
      <c r="G8" s="16"/>
      <c r="H8" s="17"/>
      <c r="I8" s="16"/>
      <c r="J8" s="16"/>
    </row>
    <row r="9" spans="2:10" ht="18" customHeight="1" x14ac:dyDescent="0.25">
      <c r="B9" s="7">
        <v>2</v>
      </c>
      <c r="C9" s="6"/>
      <c r="D9" s="6"/>
      <c r="E9" s="6"/>
      <c r="F9" s="6"/>
      <c r="G9" s="6"/>
      <c r="H9" s="9"/>
      <c r="I9" s="6"/>
      <c r="J9" s="6"/>
    </row>
    <row r="10" spans="2:10" ht="18" customHeight="1" x14ac:dyDescent="0.25">
      <c r="B10" s="15">
        <v>3</v>
      </c>
      <c r="C10" s="16"/>
      <c r="D10" s="16"/>
      <c r="E10" s="16"/>
      <c r="F10" s="16"/>
      <c r="G10" s="16"/>
      <c r="H10" s="17"/>
      <c r="I10" s="16"/>
      <c r="J10" s="16"/>
    </row>
    <row r="11" spans="2:10" ht="18" customHeight="1" x14ac:dyDescent="0.25">
      <c r="B11" s="7">
        <v>4</v>
      </c>
      <c r="C11" s="6"/>
      <c r="D11" s="6"/>
      <c r="E11" s="6"/>
      <c r="F11" s="6"/>
      <c r="G11" s="6"/>
      <c r="H11" s="9"/>
      <c r="I11" s="6"/>
      <c r="J11" s="6"/>
    </row>
    <row r="12" spans="2:10" ht="18" customHeight="1" x14ac:dyDescent="0.25">
      <c r="B12" s="15">
        <v>5</v>
      </c>
      <c r="C12" s="16"/>
      <c r="D12" s="16"/>
      <c r="E12" s="16"/>
      <c r="F12" s="16"/>
      <c r="G12" s="16"/>
      <c r="H12" s="17"/>
      <c r="I12" s="16"/>
      <c r="J12" s="16"/>
    </row>
    <row r="13" spans="2:10" ht="18" customHeight="1" x14ac:dyDescent="0.25">
      <c r="B13" s="7">
        <v>6</v>
      </c>
      <c r="C13" s="6"/>
      <c r="D13" s="6"/>
      <c r="E13" s="6"/>
      <c r="F13" s="6"/>
      <c r="G13" s="6"/>
      <c r="H13" s="9"/>
      <c r="I13" s="6"/>
      <c r="J13" s="6"/>
    </row>
    <row r="14" spans="2:10" ht="18" customHeight="1" x14ac:dyDescent="0.25">
      <c r="B14" s="15">
        <v>7</v>
      </c>
      <c r="C14" s="16"/>
      <c r="D14" s="16"/>
      <c r="E14" s="16"/>
      <c r="F14" s="16"/>
      <c r="G14" s="16"/>
      <c r="H14" s="17"/>
      <c r="I14" s="16"/>
      <c r="J14" s="16"/>
    </row>
    <row r="15" spans="2:10" ht="18" customHeight="1" x14ac:dyDescent="0.25">
      <c r="B15" s="7">
        <v>8</v>
      </c>
      <c r="C15" s="6"/>
      <c r="D15" s="6"/>
      <c r="E15" s="6"/>
      <c r="F15" s="6"/>
      <c r="G15" s="6"/>
      <c r="H15" s="9"/>
      <c r="I15" s="6"/>
      <c r="J15" s="6"/>
    </row>
    <row r="16" spans="2:10" ht="18" customHeight="1" x14ac:dyDescent="0.25">
      <c r="B16" s="15">
        <v>9</v>
      </c>
      <c r="C16" s="16"/>
      <c r="D16" s="16"/>
      <c r="E16" s="16"/>
      <c r="F16" s="16"/>
      <c r="G16" s="16"/>
      <c r="H16" s="17"/>
      <c r="I16" s="16"/>
      <c r="J16" s="16"/>
    </row>
    <row r="17" spans="2:10" ht="18" customHeight="1" x14ac:dyDescent="0.25">
      <c r="B17" s="7">
        <v>10</v>
      </c>
      <c r="C17" s="6"/>
      <c r="D17" s="6"/>
      <c r="E17" s="6"/>
      <c r="F17" s="6"/>
      <c r="G17" s="6"/>
      <c r="H17" s="9"/>
      <c r="I17" s="6"/>
      <c r="J17" s="6"/>
    </row>
    <row r="18" spans="2:10" x14ac:dyDescent="0.25">
      <c r="B18" s="35" t="s">
        <v>146</v>
      </c>
      <c r="C18" s="36"/>
      <c r="D18" s="36"/>
      <c r="E18" s="36"/>
      <c r="F18" s="36"/>
      <c r="G18" s="36"/>
      <c r="H18" s="11">
        <f>SUM(H8:H17)</f>
        <v>0</v>
      </c>
      <c r="I18" s="18"/>
      <c r="J18" s="18"/>
    </row>
  </sheetData>
  <sheetProtection sheet="1" formatCells="0" formatColumns="0" formatRows="0" insertRows="0" sort="0" autoFilter="0"/>
  <mergeCells count="4">
    <mergeCell ref="B18:G18"/>
    <mergeCell ref="B3:J3"/>
    <mergeCell ref="B5:J5"/>
    <mergeCell ref="B2:J2"/>
  </mergeCells>
  <printOptions horizontalCentered="1"/>
  <pageMargins left="0.4" right="0.4" top="0.5" bottom="0.5" header="0.2" footer="0.2"/>
  <pageSetup paperSize="9" fitToHeight="0" orientation="landscape"/>
  <headerFooter>
    <oddFooter>&amp;L&amp;8 &amp;K78716CWniosek o ubezpieczenie majątkowe — Aura Expert&amp;R&amp;8 &amp;K78716C&amp;A — str. &amp;P z &amp;N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Nieprawidłowa wartość" error="Wybierz wartość z listy rozwijanej." xr:uid="{00000000-0002-0000-0600-000000000000}">
          <x14:formula1>
            <xm:f>_listy!$K$2:$K$4</xm:f>
          </x14:formula1>
          <xm:sqref>C8 C9 C10 C11 C12 C13 C14 C15 C16 C17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D9488"/>
    <pageSetUpPr fitToPage="1"/>
  </sheetPr>
  <dimension ref="B2:G14"/>
  <sheetViews>
    <sheetView showGridLines="0" workbookViewId="0"/>
  </sheetViews>
  <sheetFormatPr defaultRowHeight="15" x14ac:dyDescent="0.25"/>
  <cols>
    <col min="1" max="1" width="2" customWidth="1"/>
    <col min="2" max="2" width="6" customWidth="1"/>
    <col min="3" max="3" width="15" customWidth="1"/>
    <col min="4" max="4" width="42" customWidth="1"/>
    <col min="5" max="6" width="18" customWidth="1"/>
    <col min="7" max="7" width="24" customWidth="1"/>
  </cols>
  <sheetData>
    <row r="2" spans="2:7" ht="24" customHeight="1" x14ac:dyDescent="0.35">
      <c r="B2" s="30" t="s">
        <v>0</v>
      </c>
      <c r="C2" s="31"/>
      <c r="D2" s="31"/>
      <c r="E2" s="31"/>
      <c r="F2" s="31"/>
      <c r="G2" s="31"/>
    </row>
    <row r="3" spans="2:7" x14ac:dyDescent="0.25">
      <c r="B3" s="32" t="s">
        <v>149</v>
      </c>
      <c r="C3" s="31"/>
      <c r="D3" s="31"/>
      <c r="E3" s="31"/>
      <c r="F3" s="31"/>
      <c r="G3" s="31"/>
    </row>
    <row r="5" spans="2:7" ht="20.100000000000001" customHeight="1" x14ac:dyDescent="0.25">
      <c r="B5" s="28" t="s">
        <v>150</v>
      </c>
      <c r="C5" s="29"/>
      <c r="D5" s="29"/>
      <c r="E5" s="29"/>
      <c r="F5" s="29"/>
      <c r="G5" s="29"/>
    </row>
    <row r="6" spans="2:7" x14ac:dyDescent="0.25">
      <c r="B6" s="19" t="s">
        <v>151</v>
      </c>
      <c r="C6" s="7" t="s">
        <v>152</v>
      </c>
      <c r="D6" s="13" t="s">
        <v>153</v>
      </c>
    </row>
    <row r="8" spans="2:7" ht="27.95" customHeight="1" x14ac:dyDescent="0.25">
      <c r="B8" s="14" t="s">
        <v>136</v>
      </c>
      <c r="C8" s="14" t="s">
        <v>154</v>
      </c>
      <c r="D8" s="14" t="s">
        <v>155</v>
      </c>
      <c r="E8" s="14" t="s">
        <v>156</v>
      </c>
      <c r="F8" s="14" t="s">
        <v>157</v>
      </c>
      <c r="G8" s="14" t="s">
        <v>158</v>
      </c>
    </row>
    <row r="9" spans="2:7" ht="18" customHeight="1" x14ac:dyDescent="0.25">
      <c r="B9" s="20">
        <v>1</v>
      </c>
      <c r="C9" s="8"/>
      <c r="D9" s="6"/>
      <c r="E9" s="9"/>
      <c r="F9" s="9"/>
      <c r="G9" s="6"/>
    </row>
    <row r="10" spans="2:7" ht="18" customHeight="1" x14ac:dyDescent="0.25">
      <c r="B10" s="20">
        <v>2</v>
      </c>
      <c r="C10" s="8"/>
      <c r="D10" s="6"/>
      <c r="E10" s="9"/>
      <c r="F10" s="9"/>
      <c r="G10" s="6"/>
    </row>
    <row r="11" spans="2:7" ht="18" customHeight="1" x14ac:dyDescent="0.25">
      <c r="B11" s="20">
        <v>3</v>
      </c>
      <c r="C11" s="8"/>
      <c r="D11" s="6"/>
      <c r="E11" s="9"/>
      <c r="F11" s="9"/>
      <c r="G11" s="6"/>
    </row>
    <row r="12" spans="2:7" ht="18" customHeight="1" x14ac:dyDescent="0.25">
      <c r="B12" s="20">
        <v>4</v>
      </c>
      <c r="C12" s="8"/>
      <c r="D12" s="6"/>
      <c r="E12" s="9"/>
      <c r="F12" s="9"/>
      <c r="G12" s="6"/>
    </row>
    <row r="13" spans="2:7" ht="18" customHeight="1" x14ac:dyDescent="0.25">
      <c r="B13" s="20">
        <v>5</v>
      </c>
      <c r="C13" s="8"/>
      <c r="D13" s="6"/>
      <c r="E13" s="9"/>
      <c r="F13" s="9"/>
      <c r="G13" s="6"/>
    </row>
    <row r="14" spans="2:7" x14ac:dyDescent="0.25">
      <c r="B14" s="35" t="s">
        <v>146</v>
      </c>
      <c r="C14" s="36"/>
      <c r="D14" s="36"/>
      <c r="E14" s="11">
        <f>SUM(E9:E13)</f>
        <v>0</v>
      </c>
      <c r="F14" s="11">
        <f>SUM(F9:F13)</f>
        <v>0</v>
      </c>
      <c r="G14" s="18"/>
    </row>
  </sheetData>
  <sheetProtection sheet="1" formatCells="0" formatColumns="0" formatRows="0" insertRows="0" sort="0" autoFilter="0"/>
  <mergeCells count="4">
    <mergeCell ref="B3:G3"/>
    <mergeCell ref="B2:G2"/>
    <mergeCell ref="B5:G5"/>
    <mergeCell ref="B14:D14"/>
  </mergeCells>
  <dataValidations count="1">
    <dataValidation type="list" allowBlank="1" errorTitle="Nieprawidłowa wartość" error="Wybierz wartość z listy rozwijanej." sqref="C6" xr:uid="{00000000-0002-0000-0700-000000000000}">
      <formula1>"TAK,NIE"</formula1>
    </dataValidation>
  </dataValidations>
  <printOptions horizontalCentered="1"/>
  <pageMargins left="0.4" right="0.4" top="0.5" bottom="0.5" header="0.2" footer="0.2"/>
  <pageSetup paperSize="9" fitToHeight="0" orientation="landscape"/>
  <headerFooter>
    <oddFooter>&amp;L&amp;8 &amp;K78716CWniosek o ubezpieczenie majątkowe — Aura Expert&amp;R&amp;8 &amp;K78716C&amp;A — str. &amp;P z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D9488"/>
    <pageSetUpPr fitToPage="1"/>
  </sheetPr>
  <dimension ref="B2:F51"/>
  <sheetViews>
    <sheetView showGridLines="0" topLeftCell="A25" workbookViewId="0">
      <selection activeCell="H12" sqref="H12"/>
    </sheetView>
  </sheetViews>
  <sheetFormatPr defaultRowHeight="15" x14ac:dyDescent="0.25"/>
  <cols>
    <col min="1" max="1" width="2" customWidth="1"/>
    <col min="2" max="2" width="46" customWidth="1"/>
    <col min="3" max="5" width="18" customWidth="1"/>
    <col min="6" max="6" width="20" customWidth="1"/>
  </cols>
  <sheetData>
    <row r="2" spans="2:6" ht="24" customHeight="1" x14ac:dyDescent="0.35">
      <c r="B2" s="30" t="s">
        <v>0</v>
      </c>
      <c r="C2" s="31"/>
      <c r="D2" s="31"/>
      <c r="E2" s="31"/>
      <c r="F2" s="31"/>
    </row>
    <row r="3" spans="2:6" x14ac:dyDescent="0.25">
      <c r="B3" s="32" t="s">
        <v>159</v>
      </c>
      <c r="C3" s="31"/>
      <c r="D3" s="31"/>
      <c r="E3" s="31"/>
      <c r="F3" s="31"/>
    </row>
    <row r="5" spans="2:6" ht="20.100000000000001" customHeight="1" x14ac:dyDescent="0.25">
      <c r="B5" s="28" t="s">
        <v>160</v>
      </c>
      <c r="C5" s="29"/>
      <c r="D5" s="29"/>
      <c r="E5" s="29"/>
      <c r="F5" s="29"/>
    </row>
    <row r="6" spans="2:6" x14ac:dyDescent="0.25">
      <c r="B6" s="19" t="s">
        <v>161</v>
      </c>
      <c r="C6" s="7" t="s">
        <v>82</v>
      </c>
    </row>
    <row r="7" spans="2:6" x14ac:dyDescent="0.25">
      <c r="B7" s="21" t="s">
        <v>162</v>
      </c>
      <c r="C7" s="7" t="s">
        <v>82</v>
      </c>
      <c r="D7" s="13" t="s">
        <v>163</v>
      </c>
    </row>
    <row r="8" spans="2:6" x14ac:dyDescent="0.25">
      <c r="B8" s="21" t="s">
        <v>164</v>
      </c>
      <c r="C8" s="7" t="s">
        <v>82</v>
      </c>
      <c r="D8" s="13" t="s">
        <v>163</v>
      </c>
    </row>
    <row r="9" spans="2:6" x14ac:dyDescent="0.25">
      <c r="B9" s="21" t="s">
        <v>165</v>
      </c>
      <c r="C9" s="7" t="s">
        <v>82</v>
      </c>
      <c r="D9" s="13" t="s">
        <v>163</v>
      </c>
    </row>
    <row r="10" spans="2:6" x14ac:dyDescent="0.25">
      <c r="B10" s="19" t="s">
        <v>166</v>
      </c>
      <c r="C10" s="7" t="s">
        <v>82</v>
      </c>
    </row>
    <row r="11" spans="2:6" x14ac:dyDescent="0.25">
      <c r="B11" s="19" t="s">
        <v>167</v>
      </c>
      <c r="C11" s="7" t="s">
        <v>82</v>
      </c>
    </row>
    <row r="12" spans="2:6" x14ac:dyDescent="0.25">
      <c r="B12" s="19" t="s">
        <v>168</v>
      </c>
      <c r="C12" s="7" t="s">
        <v>82</v>
      </c>
    </row>
    <row r="14" spans="2:6" ht="20.100000000000001" customHeight="1" x14ac:dyDescent="0.25">
      <c r="B14" s="28" t="s">
        <v>169</v>
      </c>
      <c r="C14" s="29"/>
      <c r="D14" s="29"/>
      <c r="E14" s="29"/>
      <c r="F14" s="29"/>
    </row>
    <row r="15" spans="2:6" ht="27.95" customHeight="1" x14ac:dyDescent="0.25">
      <c r="B15" s="14" t="s">
        <v>170</v>
      </c>
      <c r="C15" s="14" t="s">
        <v>171</v>
      </c>
      <c r="D15" s="14" t="s">
        <v>172</v>
      </c>
      <c r="E15" s="14" t="s">
        <v>173</v>
      </c>
      <c r="F15" s="14" t="s">
        <v>146</v>
      </c>
    </row>
    <row r="16" spans="2:6" x14ac:dyDescent="0.25">
      <c r="B16" s="22" t="s">
        <v>113</v>
      </c>
      <c r="C16" s="12">
        <f>'2. Lokalizacja 1'!C46</f>
        <v>0</v>
      </c>
      <c r="D16" s="12">
        <f>'3. Lokalizacja 2'!C46</f>
        <v>0</v>
      </c>
      <c r="E16" s="12">
        <f>'4. Lokalizacja 3'!C46</f>
        <v>0</v>
      </c>
      <c r="F16" s="23">
        <f t="shared" ref="F16:F25" si="0">SUM(C16:E16)</f>
        <v>0</v>
      </c>
    </row>
    <row r="17" spans="2:6" x14ac:dyDescent="0.25">
      <c r="B17" s="22" t="s">
        <v>114</v>
      </c>
      <c r="C17" s="12">
        <f>'2. Lokalizacja 1'!C47</f>
        <v>0</v>
      </c>
      <c r="D17" s="12">
        <f>'3. Lokalizacja 2'!C47</f>
        <v>0</v>
      </c>
      <c r="E17" s="12">
        <f>'4. Lokalizacja 3'!C47</f>
        <v>0</v>
      </c>
      <c r="F17" s="23">
        <f t="shared" si="0"/>
        <v>0</v>
      </c>
    </row>
    <row r="18" spans="2:6" x14ac:dyDescent="0.25">
      <c r="B18" s="22" t="s">
        <v>115</v>
      </c>
      <c r="C18" s="12">
        <f>'2. Lokalizacja 1'!C48</f>
        <v>0</v>
      </c>
      <c r="D18" s="12">
        <f>'3. Lokalizacja 2'!C48</f>
        <v>0</v>
      </c>
      <c r="E18" s="12">
        <f>'4. Lokalizacja 3'!C48</f>
        <v>0</v>
      </c>
      <c r="F18" s="23">
        <f t="shared" si="0"/>
        <v>0</v>
      </c>
    </row>
    <row r="19" spans="2:6" x14ac:dyDescent="0.25">
      <c r="B19" s="22" t="s">
        <v>116</v>
      </c>
      <c r="C19" s="12">
        <f>'2. Lokalizacja 1'!C49</f>
        <v>0</v>
      </c>
      <c r="D19" s="12">
        <f>'3. Lokalizacja 2'!C49</f>
        <v>0</v>
      </c>
      <c r="E19" s="12">
        <f>'4. Lokalizacja 3'!C49</f>
        <v>0</v>
      </c>
      <c r="F19" s="23">
        <f t="shared" si="0"/>
        <v>0</v>
      </c>
    </row>
    <row r="20" spans="2:6" x14ac:dyDescent="0.25">
      <c r="B20" s="22" t="s">
        <v>117</v>
      </c>
      <c r="C20" s="12">
        <f>'2. Lokalizacja 1'!C50</f>
        <v>0</v>
      </c>
      <c r="D20" s="12">
        <f>'3. Lokalizacja 2'!C50</f>
        <v>0</v>
      </c>
      <c r="E20" s="12">
        <f>'4. Lokalizacja 3'!C50</f>
        <v>0</v>
      </c>
      <c r="F20" s="23">
        <f t="shared" si="0"/>
        <v>0</v>
      </c>
    </row>
    <row r="21" spans="2:6" x14ac:dyDescent="0.25">
      <c r="B21" s="22" t="s">
        <v>118</v>
      </c>
      <c r="C21" s="12">
        <f>'2. Lokalizacja 1'!C51</f>
        <v>0</v>
      </c>
      <c r="D21" s="12">
        <f>'3. Lokalizacja 2'!C51</f>
        <v>0</v>
      </c>
      <c r="E21" s="12">
        <f>'4. Lokalizacja 3'!C51</f>
        <v>0</v>
      </c>
      <c r="F21" s="23">
        <f t="shared" si="0"/>
        <v>0</v>
      </c>
    </row>
    <row r="22" spans="2:6" x14ac:dyDescent="0.25">
      <c r="B22" s="22" t="s">
        <v>119</v>
      </c>
      <c r="C22" s="12">
        <f>'2. Lokalizacja 1'!C52</f>
        <v>0</v>
      </c>
      <c r="D22" s="12">
        <f>'3. Lokalizacja 2'!C52</f>
        <v>0</v>
      </c>
      <c r="E22" s="12">
        <f>'4. Lokalizacja 3'!C52</f>
        <v>0</v>
      </c>
      <c r="F22" s="23">
        <f t="shared" si="0"/>
        <v>0</v>
      </c>
    </row>
    <row r="23" spans="2:6" x14ac:dyDescent="0.25">
      <c r="B23" s="22" t="s">
        <v>120</v>
      </c>
      <c r="C23" s="12">
        <f>'2. Lokalizacja 1'!C53</f>
        <v>0</v>
      </c>
      <c r="D23" s="12">
        <f>'3. Lokalizacja 2'!C53</f>
        <v>0</v>
      </c>
      <c r="E23" s="12">
        <f>'4. Lokalizacja 3'!C53</f>
        <v>0</v>
      </c>
      <c r="F23" s="23">
        <f t="shared" si="0"/>
        <v>0</v>
      </c>
    </row>
    <row r="24" spans="2:6" x14ac:dyDescent="0.25">
      <c r="B24" s="22" t="s">
        <v>121</v>
      </c>
      <c r="C24" s="12">
        <f>'2. Lokalizacja 1'!C54</f>
        <v>0</v>
      </c>
      <c r="D24" s="12">
        <f>'3. Lokalizacja 2'!C54</f>
        <v>0</v>
      </c>
      <c r="E24" s="12">
        <f>'4. Lokalizacja 3'!C54</f>
        <v>0</v>
      </c>
      <c r="F24" s="23">
        <f t="shared" si="0"/>
        <v>0</v>
      </c>
    </row>
    <row r="25" spans="2:6" x14ac:dyDescent="0.25">
      <c r="B25" s="22" t="s">
        <v>122</v>
      </c>
      <c r="C25" s="12">
        <f>'2. Lokalizacja 1'!C55</f>
        <v>0</v>
      </c>
      <c r="D25" s="12">
        <f>'3. Lokalizacja 2'!C55</f>
        <v>0</v>
      </c>
      <c r="E25" s="12">
        <f>'4. Lokalizacja 3'!C55</f>
        <v>0</v>
      </c>
      <c r="F25" s="23">
        <f t="shared" si="0"/>
        <v>0</v>
      </c>
    </row>
    <row r="26" spans="2:6" x14ac:dyDescent="0.25">
      <c r="B26" s="24" t="s">
        <v>174</v>
      </c>
      <c r="C26" s="11">
        <f>SUM(C16:C25)</f>
        <v>0</v>
      </c>
      <c r="D26" s="11">
        <f>SUM(D16:D25)</f>
        <v>0</v>
      </c>
      <c r="E26" s="11">
        <f>SUM(E16:E25)</f>
        <v>0</v>
      </c>
      <c r="F26" s="11">
        <f>SUM(F16:F25)</f>
        <v>0</v>
      </c>
    </row>
    <row r="28" spans="2:6" ht="20.100000000000001" customHeight="1" x14ac:dyDescent="0.25">
      <c r="B28" s="28" t="s">
        <v>175</v>
      </c>
      <c r="C28" s="29"/>
      <c r="D28" s="29"/>
      <c r="E28" s="29"/>
      <c r="F28" s="29"/>
    </row>
    <row r="29" spans="2:6" x14ac:dyDescent="0.25">
      <c r="B29" s="3" t="s">
        <v>176</v>
      </c>
      <c r="C29" s="7" t="s">
        <v>82</v>
      </c>
    </row>
    <row r="30" spans="2:6" x14ac:dyDescent="0.25">
      <c r="B30" s="3" t="s">
        <v>177</v>
      </c>
      <c r="C30" s="6"/>
      <c r="D30" s="5" t="s">
        <v>178</v>
      </c>
    </row>
    <row r="31" spans="2:6" x14ac:dyDescent="0.25">
      <c r="B31" s="3" t="s">
        <v>179</v>
      </c>
      <c r="C31" s="6"/>
    </row>
    <row r="32" spans="2:6" x14ac:dyDescent="0.25">
      <c r="B32" s="3" t="s">
        <v>180</v>
      </c>
      <c r="C32" s="8"/>
      <c r="D32" s="5" t="s">
        <v>88</v>
      </c>
    </row>
    <row r="33" spans="2:6" x14ac:dyDescent="0.25">
      <c r="B33" s="3" t="s">
        <v>181</v>
      </c>
      <c r="C33" s="9"/>
    </row>
    <row r="35" spans="2:6" ht="20.100000000000001" customHeight="1" x14ac:dyDescent="0.25">
      <c r="B35" s="28" t="s">
        <v>182</v>
      </c>
      <c r="C35" s="29"/>
      <c r="D35" s="29"/>
      <c r="E35" s="29"/>
      <c r="F35" s="29"/>
    </row>
    <row r="36" spans="2:6" x14ac:dyDescent="0.25">
      <c r="B36" s="25" t="s">
        <v>183</v>
      </c>
    </row>
    <row r="37" spans="2:6" x14ac:dyDescent="0.25">
      <c r="B37" s="38"/>
      <c r="C37" s="31"/>
      <c r="D37" s="31"/>
      <c r="E37" s="31"/>
      <c r="F37" s="31"/>
    </row>
    <row r="38" spans="2:6" x14ac:dyDescent="0.25">
      <c r="B38" s="31"/>
      <c r="C38" s="31"/>
      <c r="D38" s="31"/>
      <c r="E38" s="31"/>
      <c r="F38" s="31"/>
    </row>
    <row r="39" spans="2:6" x14ac:dyDescent="0.25">
      <c r="B39" s="31"/>
      <c r="C39" s="31"/>
      <c r="D39" s="31"/>
      <c r="E39" s="31"/>
      <c r="F39" s="31"/>
    </row>
    <row r="40" spans="2:6" x14ac:dyDescent="0.25">
      <c r="B40" s="31"/>
      <c r="C40" s="31"/>
      <c r="D40" s="31"/>
      <c r="E40" s="31"/>
      <c r="F40" s="31"/>
    </row>
    <row r="41" spans="2:6" x14ac:dyDescent="0.25">
      <c r="B41" s="31"/>
      <c r="C41" s="31"/>
      <c r="D41" s="31"/>
      <c r="E41" s="31"/>
      <c r="F41" s="31"/>
    </row>
    <row r="43" spans="2:6" ht="15.95" customHeight="1" x14ac:dyDescent="0.25">
      <c r="B43" s="37" t="s">
        <v>184</v>
      </c>
      <c r="C43" s="26"/>
    </row>
    <row r="44" spans="2:6" ht="15.95" customHeight="1" x14ac:dyDescent="0.25">
      <c r="B44" s="31"/>
    </row>
    <row r="46" spans="2:6" ht="15.95" customHeight="1" x14ac:dyDescent="0.25">
      <c r="B46" s="37" t="s">
        <v>185</v>
      </c>
      <c r="C46" s="26"/>
    </row>
    <row r="47" spans="2:6" ht="15.95" customHeight="1" x14ac:dyDescent="0.25">
      <c r="B47" s="31"/>
    </row>
    <row r="50" spans="2:3" x14ac:dyDescent="0.25">
      <c r="B50" s="3" t="s">
        <v>186</v>
      </c>
      <c r="C50" s="4"/>
    </row>
    <row r="51" spans="2:3" x14ac:dyDescent="0.25">
      <c r="B51" s="3" t="s">
        <v>187</v>
      </c>
      <c r="C51" s="4"/>
    </row>
  </sheetData>
  <sheetProtection sheet="1" formatCells="0" formatColumns="0" formatRows="0"/>
  <mergeCells count="9">
    <mergeCell ref="B46:B47"/>
    <mergeCell ref="B14:F14"/>
    <mergeCell ref="B35:F35"/>
    <mergeCell ref="B43:B44"/>
    <mergeCell ref="B2:F2"/>
    <mergeCell ref="B28:F28"/>
    <mergeCell ref="B37:F41"/>
    <mergeCell ref="B3:F3"/>
    <mergeCell ref="B5:F5"/>
  </mergeCells>
  <dataValidations count="1">
    <dataValidation type="list" allowBlank="1" errorTitle="Nieprawidłowa wartość" error="Wybierz wartość z listy rozwijanej." sqref="C46 C43 C29 C6:C12" xr:uid="{00000000-0002-0000-0800-000000000000}">
      <formula1>"TAK,NIE"</formula1>
    </dataValidation>
  </dataValidations>
  <printOptions horizontalCentered="1"/>
  <pageMargins left="0.4" right="0.4" top="0.5" bottom="0.5" header="0.2" footer="0.2"/>
  <pageSetup paperSize="9" fitToHeight="0" orientation="landscape"/>
  <headerFooter>
    <oddFooter>&amp;L&amp;8 &amp;K78716CWniosek o ubezpieczenie majątkowe — Aura Expert&amp;R&amp;8 &amp;K78716C&amp;A — str. &amp;P z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8"/>
  <sheetViews>
    <sheetView workbookViewId="0"/>
  </sheetViews>
  <sheetFormatPr defaultRowHeight="15" x14ac:dyDescent="0.25"/>
  <cols>
    <col min="1" max="11" width="34" customWidth="1"/>
  </cols>
  <sheetData>
    <row r="1" spans="1:11" x14ac:dyDescent="0.25">
      <c r="A1" s="27" t="s">
        <v>188</v>
      </c>
      <c r="B1" s="27" t="s">
        <v>189</v>
      </c>
      <c r="C1" s="27" t="s">
        <v>190</v>
      </c>
      <c r="D1" s="27" t="s">
        <v>191</v>
      </c>
      <c r="E1" s="27" t="s">
        <v>192</v>
      </c>
      <c r="F1" s="27" t="s">
        <v>193</v>
      </c>
      <c r="G1" s="27" t="s">
        <v>194</v>
      </c>
      <c r="H1" s="27" t="s">
        <v>195</v>
      </c>
      <c r="I1" s="27" t="s">
        <v>196</v>
      </c>
      <c r="J1" s="27" t="s">
        <v>197</v>
      </c>
      <c r="K1" s="27" t="s">
        <v>198</v>
      </c>
    </row>
    <row r="2" spans="1:11" x14ac:dyDescent="0.25">
      <c r="A2" t="s">
        <v>199</v>
      </c>
      <c r="B2" t="s">
        <v>200</v>
      </c>
      <c r="C2" t="s">
        <v>201</v>
      </c>
      <c r="D2" t="s">
        <v>202</v>
      </c>
      <c r="E2" t="s">
        <v>203</v>
      </c>
      <c r="F2" t="s">
        <v>204</v>
      </c>
      <c r="G2" t="s">
        <v>205</v>
      </c>
      <c r="H2" t="s">
        <v>206</v>
      </c>
      <c r="I2" t="s">
        <v>98</v>
      </c>
      <c r="J2" t="s">
        <v>98</v>
      </c>
      <c r="K2" t="s">
        <v>171</v>
      </c>
    </row>
    <row r="3" spans="1:11" x14ac:dyDescent="0.25">
      <c r="A3" t="s">
        <v>207</v>
      </c>
      <c r="B3" t="s">
        <v>208</v>
      </c>
      <c r="C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K3" t="s">
        <v>172</v>
      </c>
    </row>
    <row r="4" spans="1:11" x14ac:dyDescent="0.25">
      <c r="A4" t="s">
        <v>217</v>
      </c>
      <c r="B4" t="s">
        <v>218</v>
      </c>
      <c r="C4" t="s">
        <v>219</v>
      </c>
      <c r="D4" t="s">
        <v>220</v>
      </c>
      <c r="E4" t="s">
        <v>221</v>
      </c>
      <c r="F4" t="s">
        <v>222</v>
      </c>
      <c r="G4" t="s">
        <v>223</v>
      </c>
      <c r="H4" t="s">
        <v>224</v>
      </c>
      <c r="I4" t="s">
        <v>225</v>
      </c>
      <c r="J4" t="s">
        <v>226</v>
      </c>
      <c r="K4" t="s">
        <v>173</v>
      </c>
    </row>
    <row r="5" spans="1:11" x14ac:dyDescent="0.25">
      <c r="A5" t="s">
        <v>227</v>
      </c>
      <c r="B5" t="s">
        <v>228</v>
      </c>
      <c r="C5" t="s">
        <v>229</v>
      </c>
      <c r="D5" t="s">
        <v>230</v>
      </c>
      <c r="E5" t="s">
        <v>231</v>
      </c>
      <c r="F5" t="s">
        <v>232</v>
      </c>
      <c r="G5" t="s">
        <v>233</v>
      </c>
      <c r="H5" t="s">
        <v>234</v>
      </c>
      <c r="I5" t="s">
        <v>235</v>
      </c>
      <c r="J5" t="s">
        <v>236</v>
      </c>
    </row>
    <row r="6" spans="1:11" x14ac:dyDescent="0.25">
      <c r="A6" t="s">
        <v>237</v>
      </c>
      <c r="B6" t="s">
        <v>238</v>
      </c>
      <c r="C6" t="s">
        <v>239</v>
      </c>
      <c r="D6" t="s">
        <v>240</v>
      </c>
      <c r="E6" t="s">
        <v>241</v>
      </c>
      <c r="F6" t="s">
        <v>241</v>
      </c>
      <c r="H6" t="s">
        <v>242</v>
      </c>
      <c r="J6" t="s">
        <v>243</v>
      </c>
    </row>
    <row r="7" spans="1:11" x14ac:dyDescent="0.25">
      <c r="A7" t="s">
        <v>244</v>
      </c>
      <c r="B7" t="s">
        <v>245</v>
      </c>
      <c r="H7" t="s">
        <v>241</v>
      </c>
    </row>
    <row r="8" spans="1:11" x14ac:dyDescent="0.25">
      <c r="A8" t="s">
        <v>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10</vt:i4>
      </vt:variant>
      <vt:variant>
        <vt:lpstr>Nazwane zakresy</vt:lpstr>
      </vt:variant>
      <vt:variant>
        <vt:i4>12</vt:i4>
      </vt:variant>
    </vt:vector>
  </HeadingPairs>
  <TitlesOfParts>
    <vt:vector size="22" baseType="lpstr">
      <vt:lpstr>Instrukcja</vt:lpstr>
      <vt:lpstr>1. Dane firmy</vt:lpstr>
      <vt:lpstr>2. Lokalizacja 1</vt:lpstr>
      <vt:lpstr>3. Lokalizacja 2</vt:lpstr>
      <vt:lpstr>4. Lokalizacja 3</vt:lpstr>
      <vt:lpstr>5. Sprzęt medyczny</vt:lpstr>
      <vt:lpstr>6. Elektronika EEI</vt:lpstr>
      <vt:lpstr>7. Szkodowość</vt:lpstr>
      <vt:lpstr>8. Podsumowanie</vt:lpstr>
      <vt:lpstr>_listy</vt:lpstr>
      <vt:lpstr>'1. Dane firmy'!Obszar_wydruku</vt:lpstr>
      <vt:lpstr>'2. Lokalizacja 1'!Obszar_wydruku</vt:lpstr>
      <vt:lpstr>'3. Lokalizacja 2'!Obszar_wydruku</vt:lpstr>
      <vt:lpstr>'4. Lokalizacja 3'!Obszar_wydruku</vt:lpstr>
      <vt:lpstr>'5. Sprzęt medyczny'!Obszar_wydruku</vt:lpstr>
      <vt:lpstr>'6. Elektronika EEI'!Obszar_wydruku</vt:lpstr>
      <vt:lpstr>'7. Szkodowość'!Obszar_wydruku</vt:lpstr>
      <vt:lpstr>'8. Podsumowanie'!Obszar_wydruku</vt:lpstr>
      <vt:lpstr>Instrukcja!Obszar_wydruku</vt:lpstr>
      <vt:lpstr>'5. Sprzęt medyczny'!Tytuły_wydruku</vt:lpstr>
      <vt:lpstr>'6. Elektronika EEI'!Tytuły_wydruku</vt:lpstr>
      <vt:lpstr>'7. Szkodowość'!Tytuły_wydruku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Wniosek o ubezpieczenie majątkowe</dc:title>
  <dc:creator>Aura Expert</dc:creator>
  <dc:description>Szablon wniosku o ubezpieczenie majątkowe — odpowiednik formularza internetowego.</dc:description>
  <cp:lastModifiedBy>Marek  Cieśla - Aura Consulting sp. z o.o.</cp:lastModifiedBy>
  <dcterms:created xsi:type="dcterms:W3CDTF">2026-09-18T09:29:36Z</dcterms:created>
  <dcterms:modified xsi:type="dcterms:W3CDTF">2026-09-18T09:45:22Z</dcterms:modified>
</cp:coreProperties>
</file>