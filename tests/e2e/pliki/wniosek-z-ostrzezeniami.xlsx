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05" firstSheet="1" activeTab="1" autoFilterDateGrouping="1"/>
  </bookViews>
  <sheets>
    <sheet name="Instrukcja" sheetId="1" state="visible" r:id="rId1"/>
    <sheet name="1. Dane firmy" sheetId="2" state="visible" r:id="rId2"/>
    <sheet name="2. Lokalizacja 1" sheetId="3" state="visible" r:id="rId3"/>
    <sheet name="3. Lokalizacja 2" sheetId="4" state="visible" r:id="rId4"/>
    <sheet name="4. Lokalizacja 3" sheetId="5" state="visible" r:id="rId5"/>
    <sheet name="5. Sprzęt medyczny" sheetId="6" state="visible" r:id="rId6"/>
    <sheet name="6. Elektronika EEI" sheetId="7" state="visible" r:id="rId7"/>
    <sheet name="7. Szkodowość" sheetId="8" state="visible" r:id="rId8"/>
    <sheet name="8. Podsumowanie" sheetId="9" state="visible" r:id="rId9"/>
    <sheet name="_listy" sheetId="10" state="hidden" r:id="rId10"/>
  </sheets>
  <definedNames>
    <definedName name="_xlnm.Print_Area" localSheetId="0">'Instrukcja'!$A$1:$C$26</definedName>
    <definedName name="_xlnm.Print_Area" localSheetId="1">'1. Dane firmy'!$A$1:$D$23</definedName>
    <definedName name="_xlnm.Print_Area" localSheetId="2">'2. Lokalizacja 1'!$A$1:$D$60</definedName>
    <definedName name="_xlnm.Print_Area" localSheetId="3">'3. Lokalizacja 2'!$A$1:$D$60</definedName>
    <definedName name="_xlnm.Print_Area" localSheetId="4">'4. Lokalizacja 3'!$A$1:$D$60</definedName>
    <definedName name="_xlnm.Print_Titles" localSheetId="5">'5. Sprzęt medyczny'!$7:$7</definedName>
    <definedName name="_xlnm.Print_Area" localSheetId="5">'5. Sprzęt medyczny'!$A$1:$K$18</definedName>
    <definedName name="_xlnm.Print_Titles" localSheetId="6">'6. Elektronika EEI'!$7:$7</definedName>
    <definedName name="_xlnm.Print_Area" localSheetId="6">'6. Elektronika EEI'!$A$1:$J$18</definedName>
    <definedName name="_xlnm.Print_Titles" localSheetId="7">'7. Szkodowość'!$9:$9</definedName>
    <definedName name="_xlnm.Print_Area" localSheetId="7">'7. Szkodowość'!$A$1:$G$14</definedName>
    <definedName name="_xlnm.Print_Area" localSheetId="8">'8. Podsumowanie'!$A$1:$F$51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#\ ##0&quot; PLN&quot;"/>
  </numFmts>
  <fonts count="9">
    <font>
      <name val="Calibri"/>
      <family val="2"/>
      <color theme="1"/>
      <sz val="11"/>
      <scheme val="minor"/>
    </font>
    <font>
      <name val="Calibri"/>
      <b val="1"/>
      <color rgb="FF44403C"/>
      <sz val="10"/>
    </font>
    <font>
      <name val="Calibri"/>
      <b val="1"/>
      <color rgb="FF0F766E"/>
      <sz val="16"/>
    </font>
    <font>
      <name val="Calibri"/>
      <color rgb="FF78716C"/>
      <sz val="10"/>
    </font>
    <font>
      <name val="Calibri"/>
      <b val="1"/>
      <color rgb="FF0F766E"/>
      <sz val="11"/>
    </font>
    <font>
      <name val="Calibri"/>
      <color rgb="FF44403C"/>
      <sz val="10"/>
    </font>
    <font>
      <name val="Calibri"/>
      <color rgb="FF000000"/>
      <sz val="10"/>
    </font>
    <font>
      <name val="Calibri"/>
      <i val="1"/>
      <color rgb="FF78716C"/>
      <sz val="9"/>
    </font>
    <font>
      <name val="Calibri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AFAF9"/>
      </patternFill>
    </fill>
    <fill>
      <patternFill patternType="solid">
        <fgColor rgb="FF0D9488"/>
      </patternFill>
    </fill>
    <fill>
      <patternFill patternType="solid">
        <fgColor rgb="FFF0FDFA"/>
      </patternFill>
    </fill>
  </fills>
  <borders count="11">
    <border>
      <left/>
      <right/>
      <top/>
      <bottom/>
      <diagonal/>
    </border>
    <border>
      <left/>
      <right/>
      <top/>
      <bottom style="thin">
        <color rgb="FFCCFBF1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E7E5E4"/>
      </left>
      <right style="thin">
        <color rgb="FFE7E5E4"/>
      </right>
      <top style="medium">
        <color rgb="FF0D9488"/>
      </top>
      <bottom style="medium">
        <color rgb="FF0D9488"/>
      </bottom>
      <diagonal/>
    </border>
    <border>
      <left/>
      <right/>
      <top style="thin">
        <color rgb="FFE7E5E4"/>
      </top>
      <bottom/>
      <diagonal/>
    </border>
    <border>
      <left style="thin">
        <color rgb="FFE7E5E4"/>
      </left>
      <right/>
      <top/>
      <bottom/>
      <diagonal/>
    </border>
    <border>
      <left/>
      <right style="thin">
        <color rgb="FFE7E5E4"/>
      </right>
      <top style="thin">
        <color rgb="FFE7E5E4"/>
      </top>
      <bottom/>
      <diagonal/>
    </border>
    <border>
      <left/>
      <right style="thin">
        <color rgb="FFE7E5E4"/>
      </right>
      <top/>
      <bottom/>
      <diagonal/>
    </border>
    <border>
      <left style="thin">
        <color rgb="FFE7E5E4"/>
      </left>
      <right/>
      <top/>
      <bottom style="thin">
        <color rgb="FFE7E5E4"/>
      </bottom>
      <diagonal/>
    </border>
    <border>
      <left/>
      <right/>
      <top/>
      <bottom style="thin">
        <color rgb="FFE7E5E4"/>
      </bottom>
      <diagonal/>
    </border>
    <border>
      <left/>
      <right style="thin">
        <color rgb="FFE7E5E4"/>
      </right>
      <top/>
      <bottom style="thin">
        <color rgb="FFE7E5E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6" fillId="3" borderId="2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164" fontId="6" fillId="3" borderId="2" applyAlignment="1" applyProtection="1" pivotButton="0" quotePrefix="0" xfId="0">
      <alignment horizontal="right" vertical="center"/>
      <protection locked="0" hidden="0"/>
    </xf>
    <xf numFmtId="165" fontId="6" fillId="3" borderId="2" applyAlignment="1" applyProtection="1" pivotButton="0" quotePrefix="0" xfId="0">
      <alignment horizontal="right" vertical="center"/>
      <protection locked="0" hidden="0"/>
    </xf>
    <xf numFmtId="0" fontId="4" fillId="4" borderId="3" pivotButton="0" quotePrefix="0" xfId="0"/>
    <xf numFmtId="165" fontId="4" fillId="4" borderId="3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0" fontId="6" fillId="7" borderId="2" applyAlignment="1" applyProtection="1" pivotButton="0" quotePrefix="0" xfId="0">
      <alignment horizontal="center" vertical="center"/>
      <protection locked="0" hidden="0"/>
    </xf>
    <xf numFmtId="0" fontId="6" fillId="7" borderId="2" applyAlignment="1" applyProtection="1" pivotButton="0" quotePrefix="0" xfId="0">
      <alignment horizontal="left" vertical="center"/>
      <protection locked="0" hidden="0"/>
    </xf>
    <xf numFmtId="165" fontId="6" fillId="7" borderId="2" applyAlignment="1" applyProtection="1" pivotButton="0" quotePrefix="0" xfId="0">
      <alignment horizontal="right" vertical="center"/>
      <protection locked="0" hidden="0"/>
    </xf>
    <xf numFmtId="0" fontId="0" fillId="4" borderId="0" pivotButton="0" quotePrefix="0" xfId="0"/>
    <xf numFmtId="0" fontId="1" fillId="0" borderId="0" applyAlignment="1" pivotButton="0" quotePrefix="0" xfId="0">
      <alignment vertical="center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 indent="2"/>
    </xf>
    <xf numFmtId="0" fontId="5" fillId="0" borderId="2" applyAlignment="1" pivotButton="0" quotePrefix="0" xfId="0">
      <alignment vertical="center" wrapText="1"/>
    </xf>
    <xf numFmtId="165" fontId="1" fillId="7" borderId="2" applyAlignment="1" pivotButton="0" quotePrefix="0" xfId="0">
      <alignment horizontal="right" vertical="center"/>
    </xf>
    <xf numFmtId="0" fontId="4" fillId="4" borderId="3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2" applyAlignment="1" applyProtection="1" pivotButton="0" quotePrefix="0" xfId="0">
      <alignment horizontal="center" vertical="center"/>
      <protection locked="0" hidden="0"/>
    </xf>
    <xf numFmtId="0" fontId="1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0" borderId="0" applyAlignment="1" pivotButton="0" quotePrefix="0" xfId="0">
      <alignment vertical="center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1">
    <cellStyle name="Normalny" xfId="0" builtinId="0"/>
  </cellStyles>
  <dxfs count="12"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style="31" min="1" max="1"/>
    <col width="30" customWidth="1" style="31" min="2" max="2"/>
    <col width="82" customWidth="1" style="31" min="3" max="3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Aura Expert — szablon do wypełnienia w arkuszu kalkulacyjnym</t>
        </is>
      </c>
    </row>
    <row r="5" ht="20.1" customHeight="1" s="31">
      <c r="B5" s="28" t="inlineStr">
        <is>
          <t>JAK WYPEŁNIĆ</t>
        </is>
      </c>
      <c r="C5" s="29" t="n"/>
    </row>
    <row r="6" ht="30" customHeight="1" s="31">
      <c r="B6" s="1" t="inlineStr">
        <is>
          <t>Kolejność</t>
        </is>
      </c>
      <c r="C6" s="33" t="inlineStr">
        <is>
          <t>Wypełniaj zakładki po kolei — od „1. Dane firmy” do „8. Podsumowanie”.</t>
        </is>
      </c>
    </row>
    <row r="7" ht="30" customHeight="1" s="31">
      <c r="B7" s="1" t="inlineStr">
        <is>
          <t>Pola wymagane</t>
        </is>
      </c>
      <c r="C7" s="33" t="inlineStr">
        <is>
          <t>Oznaczone gwiazdką * i wyróżnione kremowym tłem. Bez nich wniosek nie zostanie rozpatrzony.</t>
        </is>
      </c>
    </row>
    <row r="8" ht="30" customHeight="1" s="31">
      <c r="B8" s="1" t="inlineStr">
        <is>
          <t>Listy rozwijane</t>
        </is>
      </c>
      <c r="C8" s="33" t="inlineStr">
        <is>
          <t>Komórki ze strzałką po prawej — wybierz wartość z listy zamiast wpisywać własną.</t>
        </is>
      </c>
    </row>
    <row r="9" ht="30" customHeight="1" s="31">
      <c r="B9" s="1" t="inlineStr">
        <is>
          <t>Pola TAK / NIE</t>
        </is>
      </c>
      <c r="C9" s="33" t="inlineStr">
        <is>
          <t>Odpowiednik pól wyboru z formularza internetowego. Domyślnie „NIE”.</t>
        </is>
      </c>
    </row>
    <row r="10" ht="30" customHeight="1" s="31">
      <c r="B10" s="1" t="inlineStr">
        <is>
          <t>Kwoty</t>
        </is>
      </c>
      <c r="C10" s="33" t="inlineStr">
        <is>
          <t>Podawaj wartość odtworzeniową (koszt zakupu nowego), w pełnych złotych, bez groszy.</t>
        </is>
      </c>
    </row>
    <row r="11" ht="30" customHeight="1" s="31">
      <c r="B11" s="1" t="inlineStr">
        <is>
          <t>Sumy</t>
        </is>
      </c>
      <c r="C11" s="33" t="inlineStr">
        <is>
          <t>Pola szare liczą się same — nie nadpisuj ich.</t>
        </is>
      </c>
    </row>
    <row r="12" ht="30" customHeight="1" s="31">
      <c r="B12" s="1" t="inlineStr">
        <is>
          <t>Lokalizacje</t>
        </is>
      </c>
      <c r="C12" s="33" t="inlineStr">
        <is>
          <t>Szablon obejmuje 3 lokalizacje. Wypełnij tylko te faktycznie użytkowane; przy większej liczbie skontaktuj się z agentem.</t>
        </is>
      </c>
    </row>
    <row r="13" ht="30" customHeight="1" s="31">
      <c r="B13" s="1" t="inlineStr">
        <is>
          <t>Kontrola spójności</t>
        </is>
      </c>
      <c r="C13" s="33" t="inlineStr">
        <is>
          <t>Na dole każdej zakładki lokalizacji sprawdzane jest, czy sumy zgadzają się z wykazem sprzętu. Czerwone podświetlenie oznacza rozbieżność do poprawienia.</t>
        </is>
      </c>
    </row>
    <row r="14" ht="30" customHeight="1" s="31">
      <c r="B14" s="1" t="inlineStr">
        <is>
          <t>Ochrona arkusza</t>
        </is>
      </c>
      <c r="C14" s="33" t="inlineStr">
        <is>
          <t>Zablokowane są wyłącznie etykiety i formuły — żeby ich przypadkiem nie skasować. Ochrona jest bez hasła i można ją zdjąć: Recenzja → Nie chroń arkusza.</t>
        </is>
      </c>
    </row>
    <row r="16" ht="20.1" customHeight="1" s="31">
      <c r="B16" s="28" t="inlineStr">
        <is>
          <t>ZAWARTOŚĆ SKOROSZYTU</t>
        </is>
      </c>
      <c r="C16" s="29" t="n"/>
    </row>
    <row r="17" ht="27.95" customHeight="1" s="31">
      <c r="B17" s="1" t="inlineStr">
        <is>
          <t>1. Dane firmy</t>
        </is>
      </c>
      <c r="C17" s="33" t="inlineStr">
        <is>
          <t>Sekcja 1 — dane ubezpieczającego · Sekcja 3 — profil działalności</t>
        </is>
      </c>
    </row>
    <row r="18" ht="27.95" customHeight="1" s="31">
      <c r="B18" s="1" t="inlineStr">
        <is>
          <t>2–4. Lokalizacja 1–3</t>
        </is>
      </c>
      <c r="C18" s="33" t="inlineStr">
        <is>
          <t>Sekcja 2 — charakterystyka obiektu · Sekcja 4A — ppoż. · Sekcja 4B — antykradzieżowe · sumy ubezpieczenia</t>
        </is>
      </c>
    </row>
    <row r="19" ht="27.95" customHeight="1" s="31">
      <c r="B19" s="1" t="inlineStr">
        <is>
          <t>5. Sprzęt medyczny</t>
        </is>
      </c>
      <c r="C19" s="33" t="inlineStr">
        <is>
          <t>Wykaz urządzeń medycznych i estetycznych, z przypisaniem do lokalizacji</t>
        </is>
      </c>
    </row>
    <row r="20" ht="27.95" customHeight="1" s="31">
      <c r="B20" s="1" t="inlineStr">
        <is>
          <t>6. Elektronika EEI</t>
        </is>
      </c>
      <c r="C20" s="33" t="inlineStr">
        <is>
          <t>Wykaz sprzętu IT, kas fiskalnych i terminali, z przypisaniem do lokalizacji</t>
        </is>
      </c>
    </row>
    <row r="21" ht="27.95" customHeight="1" s="31">
      <c r="B21" s="1" t="inlineStr">
        <is>
          <t>7. Szkodowość</t>
        </is>
      </c>
      <c r="C21" s="33" t="inlineStr">
        <is>
          <t>Sekcja 7 — szkody z ostatnich 5 lat</t>
        </is>
      </c>
    </row>
    <row r="22" ht="27.95" customHeight="1" s="31">
      <c r="B22" s="1" t="inlineStr">
        <is>
          <t>8. Podsumowanie</t>
        </is>
      </c>
      <c r="C22" s="33" t="inlineStr">
        <is>
          <t>Sekcja 5 — zakres · Sekcja 6 — łączna suma · Sekcja 8 — obecna polisa · Sekcja 9 — uwagi i oświadczenia</t>
        </is>
      </c>
    </row>
    <row r="24" ht="20.1" customHeight="1" s="31">
      <c r="B24" s="28" t="inlineStr">
        <is>
          <t>PO WYPEŁNIENIU</t>
        </is>
      </c>
      <c r="C24" s="29" t="n"/>
    </row>
    <row r="25">
      <c r="B25" s="33" t="inlineStr">
        <is>
          <t>Odeślij wypełniony plik do swojego agenta Aura Expert. Ten sam wniosek można złożyć online — wtedy sumy i wykaz sprzętu przepiszą się do systemu automatycznie.</t>
        </is>
      </c>
    </row>
    <row r="26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6">
    <mergeCell ref="B24:C24"/>
    <mergeCell ref="B16:C16"/>
    <mergeCell ref="B2:C2"/>
    <mergeCell ref="B3:C3"/>
    <mergeCell ref="B25:C26"/>
    <mergeCell ref="B5:C5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23"/>
  <sheetViews>
    <sheetView showGridLines="0" tabSelected="1" workbookViewId="0">
      <selection activeCell="C27" sqref="C27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Krok 1 z 8 — dane ubezpieczającego i profil działalności. Pola oznaczone * są wymagane.</t>
        </is>
      </c>
    </row>
    <row r="5" ht="20.1" customHeight="1" s="31">
      <c r="B5" s="28" t="inlineStr">
        <is>
          <t>SEKCJA 1 — DANE UBEZPIECZAJĄCEGO / UBEZPIECZONEGO</t>
        </is>
      </c>
      <c r="C5" s="29" t="n"/>
      <c r="D5" s="29" t="n"/>
    </row>
    <row r="6">
      <c r="B6" s="37" t="inlineStr">
        <is>
          <t>Nazwa firmy / imię i nazwisko *</t>
        </is>
      </c>
      <c r="C6" s="4" t="inlineStr">
        <is>
          <t>Beauty Studio Aurora sp. z o.o.</t>
        </is>
      </c>
      <c r="D6" s="5" t="inlineStr">
        <is>
          <t>np. Beauty Studio sp. z o.o.</t>
        </is>
      </c>
    </row>
    <row r="7">
      <c r="B7" s="37" t="inlineStr">
        <is>
          <t>NIP</t>
        </is>
      </c>
      <c r="C7" s="6" t="inlineStr">
        <is>
          <t>1111111111</t>
        </is>
      </c>
      <c r="D7" s="5" t="inlineStr">
        <is>
          <t>000-000-00-00</t>
        </is>
      </c>
    </row>
    <row r="8">
      <c r="B8" s="37" t="inlineStr">
        <is>
          <t>REGON</t>
        </is>
      </c>
      <c r="C8" s="6" t="inlineStr">
        <is>
          <t>146123456</t>
        </is>
      </c>
    </row>
    <row r="9">
      <c r="B9" s="37" t="inlineStr">
        <is>
          <t>KRS</t>
        </is>
      </c>
      <c r="C9" s="6" t="n"/>
    </row>
    <row r="10">
      <c r="B10" s="37" t="inlineStr">
        <is>
          <t>Forma prawna</t>
        </is>
      </c>
      <c r="C10" s="6" t="inlineStr">
        <is>
          <t>Fundacja</t>
        </is>
      </c>
    </row>
    <row r="11">
      <c r="B11" s="37" t="inlineStr">
        <is>
          <t>Adres siedziby *</t>
        </is>
      </c>
      <c r="C11" s="4" t="inlineStr">
        <is>
          <t>ul. Złota 44, 00-120 Warszawa</t>
        </is>
      </c>
      <c r="D11" s="5" t="inlineStr">
        <is>
          <t>ul. Przykładowa 1, 00-000 Warszawa</t>
        </is>
      </c>
    </row>
    <row r="12">
      <c r="B12" s="37" t="inlineStr">
        <is>
          <t>Numer PKD</t>
        </is>
      </c>
      <c r="C12" s="6" t="inlineStr">
        <is>
          <t>96.02.Z</t>
        </is>
      </c>
      <c r="D12" s="5" t="inlineStr">
        <is>
          <t>np. 96.02.Z</t>
        </is>
      </c>
    </row>
    <row r="13">
      <c r="B13" s="37" t="inlineStr">
        <is>
          <t>E-mail kontaktowy *</t>
        </is>
      </c>
      <c r="C13" s="4" t="inlineStr"/>
      <c r="D13" s="5" t="inlineStr">
        <is>
          <t>biuro@firma.pl</t>
        </is>
      </c>
    </row>
    <row r="14">
      <c r="B14" s="37" t="inlineStr">
        <is>
          <t>Telefon *</t>
        </is>
      </c>
      <c r="C14" s="4" t="inlineStr">
        <is>
          <t>+48 601 234 567</t>
        </is>
      </c>
      <c r="D14" s="5" t="inlineStr">
        <is>
          <t>+48 000 000 000</t>
        </is>
      </c>
    </row>
    <row r="15">
      <c r="B15" s="37" t="inlineStr">
        <is>
          <t>Osoba do kontaktu</t>
        </is>
      </c>
      <c r="C15" s="6" t="inlineStr">
        <is>
          <t>Anna Kowalska</t>
        </is>
      </c>
    </row>
    <row r="16">
      <c r="B16" s="37" t="inlineStr">
        <is>
          <t>Stanowisko</t>
        </is>
      </c>
      <c r="C16" s="6" t="inlineStr">
        <is>
          <t>Właściciel</t>
        </is>
      </c>
    </row>
    <row r="18" ht="20.1" customHeight="1" s="31">
      <c r="B18" s="28" t="inlineStr">
        <is>
          <t>SEKCJA 3 — PROFIL DZIAŁALNOŚCI</t>
        </is>
      </c>
      <c r="C18" s="29" t="n"/>
      <c r="D18" s="29" t="n"/>
    </row>
    <row r="19">
      <c r="B19" s="37" t="inlineStr">
        <is>
          <t>Rodzaj działalności *</t>
        </is>
      </c>
      <c r="C19" s="4" t="inlineStr">
        <is>
          <t>Salon kosmetyczny z medycyną estetyczną</t>
        </is>
      </c>
      <c r="D19" s="5" t="inlineStr">
        <is>
          <t>np. Salon kosmetyczny, klinika estetyczna</t>
        </is>
      </c>
    </row>
    <row r="20">
      <c r="B20" s="37" t="inlineStr">
        <is>
          <t>Liczba pracowników</t>
        </is>
      </c>
      <c r="C20" s="6" t="inlineStr">
        <is>
          <t>6–10</t>
        </is>
      </c>
    </row>
    <row r="21">
      <c r="B21" s="37" t="inlineStr">
        <is>
          <t>Szacunkowy roczny obrót</t>
        </is>
      </c>
      <c r="C21" s="6" t="inlineStr">
        <is>
          <t>1–3 mln PLN</t>
        </is>
      </c>
    </row>
    <row r="23">
      <c r="B23" s="34" t="inlineStr">
        <is>
          <t>Sekcje 2 i 4 (charakterystyka obiektu oraz zabezpieczenia) znajdują się na zakładkach „Lokalizacja 1–3”.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B3:D3"/>
    <mergeCell ref="B5:D5"/>
    <mergeCell ref="B23:D23"/>
    <mergeCell ref="B18:D18"/>
    <mergeCell ref="B2:D2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23" workbookViewId="0">
      <selection activeCell="G14" sqref="G14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1</t>
        </is>
      </c>
    </row>
    <row r="3">
      <c r="B3" s="32" t="inlineStr">
        <is>
          <t>Lokalizacja 1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inlineStr">
        <is>
          <t>Salon Centrum</t>
        </is>
      </c>
      <c r="D6" s="5" t="inlineStr">
        <is>
          <t>np. Oddział Centrum</t>
        </is>
      </c>
    </row>
    <row r="7">
      <c r="B7" s="37" t="inlineStr">
        <is>
          <t>Adres lokalizacji ubezpieczenia *</t>
        </is>
      </c>
      <c r="C7" s="4" t="inlineStr">
        <is>
          <t>ul. Złota 44, 00-120 Warszawa</t>
        </is>
      </c>
      <c r="D7" s="5" t="inlineStr">
        <is>
          <t>jeśli różny od siedziby</t>
        </is>
      </c>
    </row>
    <row r="8">
      <c r="B8" s="37" t="inlineStr">
        <is>
          <t>Typ lokalu</t>
        </is>
      </c>
      <c r="C8" s="6" t="inlineStr">
        <is>
          <t>Kontener</t>
        </is>
      </c>
    </row>
    <row r="9">
      <c r="B9" s="37" t="inlineStr">
        <is>
          <t>Piętro / kondygnacja</t>
        </is>
      </c>
      <c r="C9" s="6" t="inlineStr">
        <is>
          <t>0</t>
        </is>
      </c>
      <c r="D9" s="5" t="inlineStr">
        <is>
          <t>np. 0, 1, -1</t>
        </is>
      </c>
    </row>
    <row r="10">
      <c r="B10" s="37" t="inlineStr">
        <is>
          <t>Powierzchnia (m²)</t>
        </is>
      </c>
      <c r="C10" s="6" t="n">
        <v>180</v>
      </c>
      <c r="D10" s="5" t="inlineStr">
        <is>
          <t>np. 120</t>
        </is>
      </c>
    </row>
    <row r="11">
      <c r="B11" s="37" t="inlineStr">
        <is>
          <t>Rok budowy</t>
        </is>
      </c>
      <c r="C11" s="6" t="inlineStr">
        <is>
          <t>2005</t>
        </is>
      </c>
      <c r="D11" s="5" t="inlineStr">
        <is>
          <t>np. 1995</t>
        </is>
      </c>
    </row>
    <row r="12">
      <c r="B12" s="37" t="inlineStr">
        <is>
          <t>Rok ostatniego remontu</t>
        </is>
      </c>
      <c r="C12" s="6" t="inlineStr">
        <is>
          <t>2021</t>
        </is>
      </c>
      <c r="D12" s="5" t="inlineStr">
        <is>
          <t>np. 2020</t>
        </is>
      </c>
    </row>
    <row r="13">
      <c r="B13" s="37" t="inlineStr">
        <is>
          <t>Materiał ścian</t>
        </is>
      </c>
      <c r="C13" s="6" t="inlineStr">
        <is>
          <t>Żelbet / beton</t>
        </is>
      </c>
    </row>
    <row r="14">
      <c r="B14" s="37" t="inlineStr">
        <is>
          <t>Pokrycie dachu</t>
        </is>
      </c>
      <c r="C14" s="6" t="inlineStr">
        <is>
          <t>Strop żelbetowy (flat)</t>
        </is>
      </c>
    </row>
    <row r="15">
      <c r="B15" s="37" t="inlineStr">
        <is>
          <t>Stan techniczny</t>
        </is>
      </c>
      <c r="C15" s="6" t="inlineStr">
        <is>
          <t>Bardzo dobry</t>
        </is>
      </c>
    </row>
    <row r="16">
      <c r="B16" s="37" t="inlineStr">
        <is>
          <t>Ogrzewanie</t>
        </is>
      </c>
      <c r="C16" s="6" t="inlineStr">
        <is>
          <t>Centralne (sieciowe)</t>
        </is>
      </c>
    </row>
    <row r="17">
      <c r="B17" s="37" t="inlineStr">
        <is>
          <t>Budynek własny (nie najemca)</t>
        </is>
      </c>
      <c r="C17" s="7" t="inlineStr">
        <is>
          <t>TAK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inlineStr">
        <is>
          <t>4</t>
        </is>
      </c>
      <c r="D21" s="5" t="inlineStr">
        <is>
          <t>np. 2</t>
        </is>
      </c>
    </row>
    <row r="22">
      <c r="B22" s="37" t="inlineStr">
        <is>
          <t>Data przeglądu gaśnic</t>
        </is>
      </c>
      <c r="C22" s="8" t="inlineStr">
        <is>
          <t>15.03.2026</t>
        </is>
      </c>
      <c r="D22" s="5" t="inlineStr">
        <is>
          <t>dd.mm.rrrr</t>
        </is>
      </c>
    </row>
    <row r="23">
      <c r="B23" s="37" t="inlineStr">
        <is>
          <t>Odległość od PSP (km)</t>
        </is>
      </c>
      <c r="C23" s="6" t="inlineStr">
        <is>
          <t>2</t>
        </is>
      </c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TAK</t>
        </is>
      </c>
    </row>
    <row r="25">
      <c r="B25" s="37" t="inlineStr">
        <is>
          <t>System alarmowania pożaru (SAP)</t>
        </is>
      </c>
      <c r="C25" s="7" t="inlineStr">
        <is>
          <t>TAK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TAK</t>
        </is>
      </c>
    </row>
    <row r="28">
      <c r="B28" s="37" t="inlineStr">
        <is>
          <t>Zakaz palenia na obiekcie</t>
        </is>
      </c>
      <c r="C28" s="7" t="inlineStr">
        <is>
          <t>TAK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Monitoring przez agencję ochrony</t>
        </is>
      </c>
    </row>
    <row r="32">
      <c r="B32" s="37" t="inlineStr">
        <is>
          <t>Agencja ochrony (nazwa)</t>
        </is>
      </c>
      <c r="C32" s="6" t="inlineStr">
        <is>
          <t>Securitas</t>
        </is>
      </c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II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TAK</t>
        </is>
      </c>
    </row>
    <row r="36">
      <c r="B36" s="37" t="inlineStr">
        <is>
          <t>Monitoring wizyjny (CCTV)</t>
        </is>
      </c>
      <c r="C36" s="7" t="inlineStr">
        <is>
          <t>TAK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TAK</t>
        </is>
      </c>
    </row>
    <row r="39">
      <c r="B39" s="37" t="inlineStr">
        <is>
          <t>Zamki atestowane</t>
        </is>
      </c>
      <c r="C39" s="7" t="inlineStr">
        <is>
          <t>TAK</t>
        </is>
      </c>
    </row>
    <row r="40">
      <c r="B40" s="37" t="inlineStr">
        <is>
          <t>Drzwi atestowane (antywłamaniowe)</t>
        </is>
      </c>
      <c r="C40" s="7" t="inlineStr">
        <is>
          <t>TAK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TAK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>
        <v>450000</v>
      </c>
    </row>
    <row r="47">
      <c r="B47" s="37" t="inlineStr">
        <is>
          <t>Wyposażenie stałe (meble, zabudowa)</t>
        </is>
      </c>
      <c r="C47" s="9" t="n">
        <v>120000</v>
      </c>
    </row>
    <row r="48">
      <c r="B48" s="37" t="inlineStr">
        <is>
          <t>Maszyny i urządzenia produkcyjne</t>
        </is>
      </c>
      <c r="C48" s="9" t="n">
        <v>60000</v>
      </c>
    </row>
    <row r="49">
      <c r="B49" s="37" t="inlineStr">
        <is>
          <t>Środki obrotowe (towary, kosmetyki, preparaty)</t>
        </is>
      </c>
      <c r="C49" s="9" t="n">
        <v>85000</v>
      </c>
    </row>
    <row r="50">
      <c r="B50" s="37" t="inlineStr">
        <is>
          <t>Sprzęt elektroniczny (IT, kasy fiskalne)</t>
        </is>
      </c>
      <c r="C50" s="9" t="n">
        <v>42000</v>
      </c>
    </row>
    <row r="51">
      <c r="B51" s="37" t="inlineStr">
        <is>
          <t>Sprzęt medyczny / estetyczny</t>
        </is>
      </c>
      <c r="C51" s="9" t="n">
        <v>310000</v>
      </c>
    </row>
    <row r="52">
      <c r="B52" s="37" t="inlineStr">
        <is>
          <t>Gotówka w lokalu (max jednorazowo)</t>
        </is>
      </c>
      <c r="C52" s="9" t="n">
        <v>5000</v>
      </c>
    </row>
    <row r="53">
      <c r="B53" s="37" t="inlineStr">
        <is>
          <t>Gotówka w transporcie (max jednorazowo)</t>
        </is>
      </c>
      <c r="C53" s="9" t="n">
        <v>3000</v>
      </c>
    </row>
    <row r="54">
      <c r="B54" s="37" t="inlineStr">
        <is>
          <t>Szyby i inne przedmioty od stłuczenia</t>
        </is>
      </c>
      <c r="C54" s="9" t="n">
        <v>18000</v>
      </c>
    </row>
    <row r="55">
      <c r="B55" s="37" t="inlineStr">
        <is>
          <t>Mienie pracowników</t>
        </is>
      </c>
      <c r="C55" s="9" t="n">
        <v>7000</v>
      </c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1",'5.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1",'6.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29" workbookViewId="0">
      <selection activeCell="A1" sqref="A1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2</t>
        </is>
      </c>
    </row>
    <row r="3">
      <c r="B3" s="32" t="inlineStr">
        <is>
          <t>Lokalizacja 2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inlineStr">
        <is>
          <t>Salon Mokotów</t>
        </is>
      </c>
      <c r="D6" s="5" t="inlineStr">
        <is>
          <t>np. Oddział Centrum</t>
        </is>
      </c>
    </row>
    <row r="7">
      <c r="B7" s="37" t="inlineStr">
        <is>
          <t>Adres lokalizacji ubezpieczenia</t>
        </is>
      </c>
      <c r="C7" s="6" t="inlineStr">
        <is>
          <t>ul. Puławska 12, 02-515 Warszawa</t>
        </is>
      </c>
      <c r="D7" s="5" t="inlineStr">
        <is>
          <t>jeśli różny od siedziby</t>
        </is>
      </c>
    </row>
    <row r="8">
      <c r="B8" s="37" t="inlineStr">
        <is>
          <t>Typ lokalu</t>
        </is>
      </c>
      <c r="C8" s="6" t="inlineStr">
        <is>
          <t>Lokal w centrum handlowym</t>
        </is>
      </c>
    </row>
    <row r="9">
      <c r="B9" s="37" t="inlineStr">
        <is>
          <t>Piętro / kondygnacja</t>
        </is>
      </c>
      <c r="C9" s="6" t="inlineStr">
        <is>
          <t>1</t>
        </is>
      </c>
      <c r="D9" s="5" t="inlineStr">
        <is>
          <t>np. 0, 1, -1</t>
        </is>
      </c>
    </row>
    <row r="10">
      <c r="B10" s="37" t="inlineStr">
        <is>
          <t>Powierzchnia (m²)</t>
        </is>
      </c>
      <c r="C10" s="6" t="n">
        <v>95</v>
      </c>
      <c r="D10" s="5" t="inlineStr">
        <is>
          <t>np. 120</t>
        </is>
      </c>
    </row>
    <row r="11">
      <c r="B11" s="37" t="inlineStr">
        <is>
          <t>Rok budowy</t>
        </is>
      </c>
      <c r="C11" s="6" t="n"/>
      <c r="D11" s="5" t="inlineStr">
        <is>
          <t>np. 1995</t>
        </is>
      </c>
    </row>
    <row r="12">
      <c r="B12" s="37" t="inlineStr">
        <is>
          <t>Rok ostatniego remontu</t>
        </is>
      </c>
      <c r="C12" s="6" t="n"/>
      <c r="D12" s="5" t="inlineStr">
        <is>
          <t>np. 2020</t>
        </is>
      </c>
    </row>
    <row r="13">
      <c r="B13" s="37" t="inlineStr">
        <is>
          <t>Materiał ścian</t>
        </is>
      </c>
      <c r="C13" s="6" t="inlineStr">
        <is>
          <t>Cegła / mur</t>
        </is>
      </c>
    </row>
    <row r="14">
      <c r="B14" s="37" t="inlineStr">
        <is>
          <t>Pokrycie dachu</t>
        </is>
      </c>
      <c r="C14" s="6" t="n"/>
    </row>
    <row r="15">
      <c r="B15" s="37" t="inlineStr">
        <is>
          <t>Stan techniczny</t>
        </is>
      </c>
      <c r="C15" s="6" t="inlineStr">
        <is>
          <t>Dobry</t>
        </is>
      </c>
    </row>
    <row r="16">
      <c r="B16" s="37" t="inlineStr">
        <is>
          <t>Ogrzewanie</t>
        </is>
      </c>
      <c r="C16" s="6" t="inlineStr">
        <is>
          <t>Elektryczne</t>
        </is>
      </c>
    </row>
    <row r="17">
      <c r="B17" s="37" t="inlineStr">
        <is>
          <t>Budynek własny (nie najemca)</t>
        </is>
      </c>
      <c r="C17" s="7" t="inlineStr">
        <is>
          <t>NIE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n"/>
      <c r="D21" s="5" t="inlineStr">
        <is>
          <t>np. 2</t>
        </is>
      </c>
    </row>
    <row r="22">
      <c r="B22" s="37" t="inlineStr">
        <is>
          <t>Data przeglądu gaśnic</t>
        </is>
      </c>
      <c r="C22" s="8" t="n"/>
      <c r="D22" s="5" t="inlineStr">
        <is>
          <t>dd.mm.rrrr</t>
        </is>
      </c>
    </row>
    <row r="23">
      <c r="B23" s="37" t="inlineStr">
        <is>
          <t>Odległość od PSP (km)</t>
        </is>
      </c>
      <c r="C23" s="6" t="n"/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NIE</t>
        </is>
      </c>
    </row>
    <row r="25">
      <c r="B25" s="37" t="inlineStr">
        <is>
          <t>System alarmowania pożaru (SAP)</t>
        </is>
      </c>
      <c r="C25" s="7" t="inlineStr">
        <is>
          <t>TAK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NIE</t>
        </is>
      </c>
    </row>
    <row r="28">
      <c r="B28" s="37" t="inlineStr">
        <is>
          <t>Zakaz palenia na obiekcie</t>
        </is>
      </c>
      <c r="C28" s="7" t="inlineStr">
        <is>
          <t>NIE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Lokalny (sygnał dźwiękowy)</t>
        </is>
      </c>
    </row>
    <row r="32">
      <c r="B32" s="37" t="inlineStr">
        <is>
          <t>Agencja ochrony (nazwa)</t>
        </is>
      </c>
      <c r="C32" s="6" t="n"/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brak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NIE</t>
        </is>
      </c>
    </row>
    <row r="36">
      <c r="B36" s="37" t="inlineStr">
        <is>
          <t>Monitoring wizyjny (CCTV)</t>
        </is>
      </c>
      <c r="C36" s="7" t="inlineStr">
        <is>
          <t>TAK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NIE</t>
        </is>
      </c>
    </row>
    <row r="39">
      <c r="B39" s="37" t="inlineStr">
        <is>
          <t>Zamki atestowane</t>
        </is>
      </c>
      <c r="C39" s="7" t="inlineStr">
        <is>
          <t>NIE</t>
        </is>
      </c>
    </row>
    <row r="40">
      <c r="B40" s="37" t="inlineStr">
        <is>
          <t>Drzwi atestowane (antywłamaniowe)</t>
        </is>
      </c>
      <c r="C40" s="7" t="inlineStr">
        <is>
          <t>NIE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NIE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>
        <v>0</v>
      </c>
    </row>
    <row r="47">
      <c r="B47" s="37" t="inlineStr">
        <is>
          <t>Wyposażenie stałe (meble, zabudowa)</t>
        </is>
      </c>
      <c r="C47" s="9" t="n">
        <v>80000</v>
      </c>
    </row>
    <row r="48">
      <c r="B48" s="37" t="inlineStr">
        <is>
          <t>Maszyny i urządzenia produkcyjne</t>
        </is>
      </c>
      <c r="C48" s="9" t="n"/>
    </row>
    <row r="49">
      <c r="B49" s="37" t="inlineStr">
        <is>
          <t>Środki obrotowe (towary, kosmetyki, preparaty)</t>
        </is>
      </c>
      <c r="C49" s="9" t="n">
        <v>40000</v>
      </c>
    </row>
    <row r="50">
      <c r="B50" s="37" t="inlineStr">
        <is>
          <t>Sprzęt elektroniczny (IT, kasy fiskalne)</t>
        </is>
      </c>
      <c r="C50" s="9" t="n">
        <v>18000</v>
      </c>
    </row>
    <row r="51">
      <c r="B51" s="37" t="inlineStr">
        <is>
          <t>Sprzęt medyczny / estetyczny</t>
        </is>
      </c>
      <c r="C51" s="9" t="n">
        <v>95000</v>
      </c>
    </row>
    <row r="52">
      <c r="B52" s="37" t="inlineStr">
        <is>
          <t>Gotówka w lokalu (max jednorazowo)</t>
        </is>
      </c>
      <c r="C52" s="9" t="n"/>
    </row>
    <row r="53">
      <c r="B53" s="37" t="inlineStr">
        <is>
          <t>Gotówka w transporcie (max jednorazowo)</t>
        </is>
      </c>
      <c r="C53" s="9" t="n"/>
    </row>
    <row r="54">
      <c r="B54" s="37" t="inlineStr">
        <is>
          <t>Szyby i inne przedmioty od stłuczenia</t>
        </is>
      </c>
      <c r="C54" s="9" t="n"/>
    </row>
    <row r="55">
      <c r="B55" s="37" t="inlineStr">
        <is>
          <t>Mienie pracowników</t>
        </is>
      </c>
      <c r="C55" s="9" t="n"/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2",'5.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2",'6.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D60"/>
  <sheetViews>
    <sheetView showGridLines="0" topLeftCell="A18" workbookViewId="0">
      <selection activeCell="A1" sqref="A1"/>
    </sheetView>
  </sheetViews>
  <sheetFormatPr baseColWidth="8" defaultRowHeight="15"/>
  <cols>
    <col width="2" customWidth="1" style="31" min="1" max="1"/>
    <col width="46" customWidth="1" style="31" min="2" max="2"/>
    <col width="38" customWidth="1" style="31" min="3" max="3"/>
    <col width="42" customWidth="1" style="31" min="4" max="4"/>
  </cols>
  <sheetData>
    <row r="2" ht="24" customHeight="1" s="31">
      <c r="B2" s="30" t="inlineStr">
        <is>
          <t>LOKALIZACJA 3</t>
        </is>
      </c>
    </row>
    <row r="3">
      <c r="B3" s="32" t="inlineStr">
        <is>
          <t>Lokalizacja 3 z 3 — wypełnij tylko dla faktycznie użytkowanych lokalizacji.</t>
        </is>
      </c>
    </row>
    <row r="5" ht="20.1" customHeight="1" s="31">
      <c r="B5" s="28" t="inlineStr">
        <is>
          <t>SEKCJA 2 — LOKALIZACJA I CHARAKTERYSTYKA BUDYNKU / LOKALU</t>
        </is>
      </c>
      <c r="C5" s="29" t="n"/>
      <c r="D5" s="29" t="n"/>
    </row>
    <row r="6">
      <c r="B6" s="37" t="inlineStr">
        <is>
          <t>Nazwa lokalizacji</t>
        </is>
      </c>
      <c r="C6" s="6" t="n"/>
      <c r="D6" s="5" t="inlineStr">
        <is>
          <t>np. Oddział Centrum</t>
        </is>
      </c>
    </row>
    <row r="7">
      <c r="B7" s="37" t="inlineStr">
        <is>
          <t>Adres lokalizacji ubezpieczenia</t>
        </is>
      </c>
      <c r="C7" s="6" t="n"/>
      <c r="D7" s="5" t="inlineStr">
        <is>
          <t>jeśli różny od siedziby</t>
        </is>
      </c>
    </row>
    <row r="8">
      <c r="B8" s="37" t="inlineStr">
        <is>
          <t>Typ lokalu</t>
        </is>
      </c>
      <c r="C8" s="6" t="n"/>
    </row>
    <row r="9">
      <c r="B9" s="37" t="inlineStr">
        <is>
          <t>Piętro / kondygnacja</t>
        </is>
      </c>
      <c r="C9" s="6" t="n"/>
      <c r="D9" s="5" t="inlineStr">
        <is>
          <t>np. 0, 1, -1</t>
        </is>
      </c>
    </row>
    <row r="10">
      <c r="B10" s="37" t="inlineStr">
        <is>
          <t>Powierzchnia (m²)</t>
        </is>
      </c>
      <c r="C10" s="6" t="n"/>
      <c r="D10" s="5" t="inlineStr">
        <is>
          <t>np. 120</t>
        </is>
      </c>
    </row>
    <row r="11">
      <c r="B11" s="37" t="inlineStr">
        <is>
          <t>Rok budowy</t>
        </is>
      </c>
      <c r="C11" s="6" t="n"/>
      <c r="D11" s="5" t="inlineStr">
        <is>
          <t>np. 1995</t>
        </is>
      </c>
    </row>
    <row r="12">
      <c r="B12" s="37" t="inlineStr">
        <is>
          <t>Rok ostatniego remontu</t>
        </is>
      </c>
      <c r="C12" s="6" t="n"/>
      <c r="D12" s="5" t="inlineStr">
        <is>
          <t>np. 2020</t>
        </is>
      </c>
    </row>
    <row r="13">
      <c r="B13" s="37" t="inlineStr">
        <is>
          <t>Materiał ścian</t>
        </is>
      </c>
      <c r="C13" s="6" t="n"/>
    </row>
    <row r="14">
      <c r="B14" s="37" t="inlineStr">
        <is>
          <t>Pokrycie dachu</t>
        </is>
      </c>
      <c r="C14" s="6" t="n"/>
    </row>
    <row r="15">
      <c r="B15" s="37" t="inlineStr">
        <is>
          <t>Stan techniczny</t>
        </is>
      </c>
      <c r="C15" s="6" t="n"/>
    </row>
    <row r="16">
      <c r="B16" s="37" t="inlineStr">
        <is>
          <t>Ogrzewanie</t>
        </is>
      </c>
      <c r="C16" s="6" t="n"/>
    </row>
    <row r="17">
      <c r="B17" s="37" t="inlineStr">
        <is>
          <t>Budynek własny (nie najemca)</t>
        </is>
      </c>
      <c r="C17" s="7" t="inlineStr">
        <is>
          <t>NIE</t>
        </is>
      </c>
    </row>
    <row r="18">
      <c r="B18" s="37" t="inlineStr">
        <is>
          <t>Materiały palne w produkcji / procesie</t>
        </is>
      </c>
      <c r="C18" s="7" t="inlineStr">
        <is>
          <t>NIE</t>
        </is>
      </c>
    </row>
    <row r="20" ht="20.1" customHeight="1" s="31">
      <c r="B20" s="28" t="inlineStr">
        <is>
          <t>SEKCJA 4A — ZABEZPIECZENIA PRZECIWPOŻAROWE</t>
        </is>
      </c>
      <c r="C20" s="29" t="n"/>
      <c r="D20" s="29" t="n"/>
    </row>
    <row r="21">
      <c r="B21" s="37" t="inlineStr">
        <is>
          <t>Gaśnice (liczba sztuk)</t>
        </is>
      </c>
      <c r="C21" s="6" t="n"/>
      <c r="D21" s="5" t="inlineStr">
        <is>
          <t>np. 2</t>
        </is>
      </c>
    </row>
    <row r="22">
      <c r="B22" s="37" t="inlineStr">
        <is>
          <t>Data przeglądu gaśnic</t>
        </is>
      </c>
      <c r="C22" s="8" t="n"/>
      <c r="D22" s="5" t="inlineStr">
        <is>
          <t>dd.mm.rrrr</t>
        </is>
      </c>
    </row>
    <row r="23">
      <c r="B23" s="37" t="inlineStr">
        <is>
          <t>Odległość od PSP (km)</t>
        </is>
      </c>
      <c r="C23" s="6" t="n"/>
      <c r="D23" s="5" t="inlineStr">
        <is>
          <t>np. 3</t>
        </is>
      </c>
    </row>
    <row r="24">
      <c r="B24" s="37" t="inlineStr">
        <is>
          <t>Hydranty wewnętrzne</t>
        </is>
      </c>
      <c r="C24" s="7" t="inlineStr">
        <is>
          <t>NIE</t>
        </is>
      </c>
    </row>
    <row r="25">
      <c r="B25" s="37" t="inlineStr">
        <is>
          <t>System alarmowania pożaru (SAP)</t>
        </is>
      </c>
      <c r="C25" s="7" t="inlineStr">
        <is>
          <t>NIE</t>
        </is>
      </c>
    </row>
    <row r="26">
      <c r="B26" s="37" t="inlineStr">
        <is>
          <t>Tryskacze / automatyczny system gaśniczy</t>
        </is>
      </c>
      <c r="C26" s="7" t="inlineStr">
        <is>
          <t>NIE</t>
        </is>
      </c>
    </row>
    <row r="27">
      <c r="B27" s="37" t="inlineStr">
        <is>
          <t>Oznakowane drogi ewakuacyjne</t>
        </is>
      </c>
      <c r="C27" s="7" t="inlineStr">
        <is>
          <t>NIE</t>
        </is>
      </c>
    </row>
    <row r="28">
      <c r="B28" s="37" t="inlineStr">
        <is>
          <t>Zakaz palenia na obiekcie</t>
        </is>
      </c>
      <c r="C28" s="7" t="inlineStr">
        <is>
          <t>NIE</t>
        </is>
      </c>
    </row>
    <row r="30" ht="20.1" customHeight="1" s="31">
      <c r="B30" s="28" t="inlineStr">
        <is>
          <t>SEKCJA 4B — ZABEZPIECZENIA ANTYKRADZIEŻOWE</t>
        </is>
      </c>
      <c r="C30" s="29" t="n"/>
      <c r="D30" s="29" t="n"/>
    </row>
    <row r="31">
      <c r="B31" s="37" t="inlineStr">
        <is>
          <t>Alarm — typ</t>
        </is>
      </c>
      <c r="C31" s="6" t="inlineStr">
        <is>
          <t>brak</t>
        </is>
      </c>
    </row>
    <row r="32">
      <c r="B32" s="37" t="inlineStr">
        <is>
          <t>Agencja ochrony (nazwa)</t>
        </is>
      </c>
      <c r="C32" s="6" t="n"/>
      <c r="D32" s="5" t="inlineStr">
        <is>
          <t>np. Securitas, G4S</t>
        </is>
      </c>
    </row>
    <row r="33">
      <c r="B33" s="37" t="inlineStr">
        <is>
          <t>Sejf / szafa stalowa — klasa</t>
        </is>
      </c>
      <c r="C33" s="6" t="inlineStr">
        <is>
          <t>brak</t>
        </is>
      </c>
    </row>
    <row r="34">
      <c r="B34" s="37" t="inlineStr">
        <is>
          <t>Ogrodzenie terenu</t>
        </is>
      </c>
      <c r="C34" s="7" t="inlineStr">
        <is>
          <t>NIE</t>
        </is>
      </c>
    </row>
    <row r="35">
      <c r="B35" s="37" t="inlineStr">
        <is>
          <t>Agencja ochrony czynna 24h</t>
        </is>
      </c>
      <c r="C35" s="7" t="inlineStr">
        <is>
          <t>NIE</t>
        </is>
      </c>
    </row>
    <row r="36">
      <c r="B36" s="37" t="inlineStr">
        <is>
          <t>Monitoring wizyjny (CCTV)</t>
        </is>
      </c>
      <c r="C36" s="7" t="inlineStr">
        <is>
          <t>NIE</t>
        </is>
      </c>
    </row>
    <row r="37">
      <c r="B37" s="37" t="inlineStr">
        <is>
          <t>Kraty w oknach</t>
        </is>
      </c>
      <c r="C37" s="7" t="inlineStr">
        <is>
          <t>NIE</t>
        </is>
      </c>
    </row>
    <row r="38">
      <c r="B38" s="37" t="inlineStr">
        <is>
          <t>Rolety antywłamaniowe</t>
        </is>
      </c>
      <c r="C38" s="7" t="inlineStr">
        <is>
          <t>NIE</t>
        </is>
      </c>
    </row>
    <row r="39">
      <c r="B39" s="37" t="inlineStr">
        <is>
          <t>Zamki atestowane</t>
        </is>
      </c>
      <c r="C39" s="7" t="inlineStr">
        <is>
          <t>NIE</t>
        </is>
      </c>
    </row>
    <row r="40">
      <c r="B40" s="37" t="inlineStr">
        <is>
          <t>Drzwi atestowane (antywłamaniowe)</t>
        </is>
      </c>
      <c r="C40" s="7" t="inlineStr">
        <is>
          <t>NIE</t>
        </is>
      </c>
    </row>
    <row r="41">
      <c r="B41" s="37" t="inlineStr">
        <is>
          <t>Szyby antywłamaniowe</t>
        </is>
      </c>
      <c r="C41" s="7" t="inlineStr">
        <is>
          <t>NIE</t>
        </is>
      </c>
    </row>
    <row r="42">
      <c r="B42" s="37" t="inlineStr">
        <is>
          <t>Komputerowy system alarmowy</t>
        </is>
      </c>
      <c r="C42" s="7" t="inlineStr">
        <is>
          <t>NIE</t>
        </is>
      </c>
    </row>
    <row r="44" ht="20.1" customHeight="1" s="31">
      <c r="B44" s="28" t="inlineStr">
        <is>
          <t>SUMY UBEZPIECZENIA DLA TEJ LOKALIZACJI (PLN)</t>
        </is>
      </c>
      <c r="C44" s="29" t="n"/>
      <c r="D44" s="29" t="n"/>
    </row>
    <row r="45">
      <c r="B45" s="34" t="inlineStr">
        <is>
          <t>Wpisz szacunkową wartość odtworzeniową (koszt zakupu nowego) każdej pozycji.</t>
        </is>
      </c>
    </row>
    <row r="46">
      <c r="B46" s="37" t="inlineStr">
        <is>
          <t>Budynek / nakłady adaptacyjne (najemcy)</t>
        </is>
      </c>
      <c r="C46" s="9" t="n"/>
    </row>
    <row r="47">
      <c r="B47" s="37" t="inlineStr">
        <is>
          <t>Wyposażenie stałe (meble, zabudowa)</t>
        </is>
      </c>
      <c r="C47" s="9" t="n"/>
    </row>
    <row r="48">
      <c r="B48" s="37" t="inlineStr">
        <is>
          <t>Maszyny i urządzenia produkcyjne</t>
        </is>
      </c>
      <c r="C48" s="9" t="n"/>
    </row>
    <row r="49">
      <c r="B49" s="37" t="inlineStr">
        <is>
          <t>Środki obrotowe (towary, kosmetyki, preparaty)</t>
        </is>
      </c>
      <c r="C49" s="9" t="n"/>
    </row>
    <row r="50">
      <c r="B50" s="37" t="inlineStr">
        <is>
          <t>Sprzęt elektroniczny (IT, kasy fiskalne)</t>
        </is>
      </c>
      <c r="C50" s="9" t="n"/>
    </row>
    <row r="51">
      <c r="B51" s="37" t="inlineStr">
        <is>
          <t>Sprzęt medyczny / estetyczny</t>
        </is>
      </c>
      <c r="C51" s="9" t="n"/>
    </row>
    <row r="52">
      <c r="B52" s="37" t="inlineStr">
        <is>
          <t>Gotówka w lokalu (max jednorazowo)</t>
        </is>
      </c>
      <c r="C52" s="9" t="n"/>
    </row>
    <row r="53">
      <c r="B53" s="37" t="inlineStr">
        <is>
          <t>Gotówka w transporcie (max jednorazowo)</t>
        </is>
      </c>
      <c r="C53" s="9" t="n"/>
    </row>
    <row r="54">
      <c r="B54" s="37" t="inlineStr">
        <is>
          <t>Szyby i inne przedmioty od stłuczenia</t>
        </is>
      </c>
      <c r="C54" s="9" t="n"/>
    </row>
    <row r="55">
      <c r="B55" s="37" t="inlineStr">
        <is>
          <t>Mienie pracowników</t>
        </is>
      </c>
      <c r="C55" s="9" t="n"/>
    </row>
    <row r="56">
      <c r="B56" s="10" t="inlineStr">
        <is>
          <t>SUMA LOKALIZACJI</t>
        </is>
      </c>
      <c r="C56" s="11">
        <f>SUM(C46:C55)</f>
        <v/>
      </c>
    </row>
    <row r="58" ht="20.1" customHeight="1" s="31">
      <c r="B58" s="28" t="inlineStr">
        <is>
          <t>KONTROLA SPÓJNOŚCI (wyliczane automatycznie)</t>
        </is>
      </c>
      <c r="C58" s="29" t="n"/>
      <c r="D58" s="29" t="n"/>
    </row>
    <row r="59">
      <c r="B59" s="37" t="inlineStr">
        <is>
          <t>Suma wartości z zakładki „5. Sprzęt medyczny”</t>
        </is>
      </c>
      <c r="C59" s="12">
        <f>SUMIF('5. Sprzęt medyczny'!$C$8:$C$107,"Lokalizacja 3",'5. Sprzęt medyczny'!$I$8:$I$107)</f>
        <v/>
      </c>
      <c r="D59" s="13" t="inlineStr">
        <is>
          <t>porównaj z pozycją „Sprzęt medyczny / estetyczny”</t>
        </is>
      </c>
    </row>
    <row r="60">
      <c r="B60" s="37" t="inlineStr">
        <is>
          <t>Suma wartości z zakładki „6. Elektronika EEI”</t>
        </is>
      </c>
      <c r="C60" s="12">
        <f>SUMIF('6. Elektronika EEI'!$C$8:$C$107,"Lokalizacja 3",'6. Elektronika EEI'!$H$8:$H$107)</f>
        <v/>
      </c>
      <c r="D60" s="13" t="inlineStr">
        <is>
          <t>porównaj z pozycją „Sprzęt elektroniczny”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8">
    <mergeCell ref="B3:D3"/>
    <mergeCell ref="B5:D5"/>
    <mergeCell ref="B45:D45"/>
    <mergeCell ref="B58:D58"/>
    <mergeCell ref="B30:D30"/>
    <mergeCell ref="B44:D44"/>
    <mergeCell ref="B2:D2"/>
    <mergeCell ref="B20:D20"/>
  </mergeCells>
  <conditionalFormatting sqref="C50">
    <cfRule type="expression" priority="4" dxfId="0">
      <formula>AND($C$60&gt;0,ABS($C$60-$C$50)&gt;=1)</formula>
    </cfRule>
  </conditionalFormatting>
  <conditionalFormatting sqref="C51">
    <cfRule type="expression" priority="2" dxfId="0">
      <formula>AND($C$59&gt;0,ABS($C$59-$C$51)&gt;=1)</formula>
    </cfRule>
  </conditionalFormatting>
  <conditionalFormatting sqref="C59">
    <cfRule type="expression" priority="1" dxfId="0">
      <formula>AND($C$59&gt;0,ABS($C$59-$C$51)&gt;=1)</formula>
    </cfRule>
  </conditionalFormatting>
  <conditionalFormatting sqref="C60">
    <cfRule type="expression" priority="3" dxfId="0">
      <formula>AND($C$60&gt;0,ABS($C$60-$C$50)&gt;=1)</formula>
    </cfRule>
  </conditionalFormatting>
  <dataValidations count="5">
    <dataValidation sqref="C10" showDropDown="0" showInputMessage="0" showErrorMessage="0" allowBlank="1" errorTitle="Nieprawidłowa wartość" error="Podaj liczbę z zakresu 0–100000." type="whole">
      <formula1>0</formula1>
      <formula2>100000</formula2>
    </dataValidation>
    <dataValidation sqref="C11:C12" showDropDown="0" showInputMessage="0" showErrorMessage="0" allowBlank="1" errorTitle="Nieprawidłowa wartość" error="Podaj liczbę z zakresu 1700–2100." type="whole">
      <formula1>1700</formula1>
      <formula2>2100</formula2>
    </dataValidation>
    <dataValidation sqref="C17:C18 C24:C28 C34:C42" showDropDown="0" showInputMessage="0" showErrorMessage="0" allowBlank="1" errorTitle="Nieprawidłowa wartość" error="Wybierz wartość z listy rozwijanej." type="list">
      <formula1>"TAK,NIE"</formula1>
    </dataValidation>
    <dataValidation sqref="C21" showDropDown="0" showInputMessage="0" showErrorMessage="0" allowBlank="1" errorTitle="Nieprawidłowa wartość" error="Podaj liczbę z zakresu 0–9999." type="whole">
      <formula1>0</formula1>
      <formula2>9999</formula2>
    </dataValidation>
    <dataValidation sqref="C46:C55" showDropDown="0" showInputMessage="0" showErrorMessage="0" allowBlank="1" error="Podaj wartość nieujemną." type="decimal" operator="greaterThanOrEqual">
      <formula1>0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K18"/>
  <sheetViews>
    <sheetView showGridLines="0" workbookViewId="0">
      <pane ySplit="7" topLeftCell="A8" activePane="bottomLeft" state="frozen"/>
      <selection pane="bottomLeft" activeCell="G22" sqref="G22"/>
    </sheetView>
  </sheetViews>
  <sheetFormatPr baseColWidth="8" defaultRowHeight="15"/>
  <cols>
    <col width="2" customWidth="1" style="31" min="1" max="1"/>
    <col width="6" customWidth="1" style="31" min="2" max="2"/>
    <col width="18" customWidth="1" style="31" min="3" max="3"/>
    <col width="30" customWidth="1" style="31" min="4" max="4"/>
    <col width="18" customWidth="1" style="31" min="5" max="7"/>
    <col width="11" customWidth="1" style="31" min="8" max="8"/>
    <col width="16" customWidth="1" style="31" min="9" max="9"/>
    <col width="10" customWidth="1" style="31" min="10" max="10"/>
    <col width="30" customWidth="1" style="31" min="11" max="11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Sprzęt medyczny i estetyczny — wykaz urządzeń we wszystkich lokalizacjach.</t>
        </is>
      </c>
    </row>
    <row r="5">
      <c r="B5" s="34" t="inlineStr">
        <is>
          <t>Wskaż lokalizację dla każdego urządzenia. Suma wartości musi zgadzać się z pozycją „Sprzęt medyczny / estetyczny” w sumach danej lokalizacji.</t>
        </is>
      </c>
    </row>
    <row r="7" ht="27.95" customHeight="1" s="31">
      <c r="B7" s="14" t="inlineStr">
        <is>
          <t>Lp.</t>
        </is>
      </c>
      <c r="C7" s="14" t="inlineStr">
        <is>
          <t>Lokalizacja</t>
        </is>
      </c>
      <c r="D7" s="14" t="inlineStr">
        <is>
          <t>Nazwa urządzenia</t>
        </is>
      </c>
      <c r="E7" s="14" t="inlineStr">
        <is>
          <t>Producent</t>
        </is>
      </c>
      <c r="F7" s="14" t="inlineStr">
        <is>
          <t>Model</t>
        </is>
      </c>
      <c r="G7" s="14" t="inlineStr">
        <is>
          <t>Nr seryjny</t>
        </is>
      </c>
      <c r="H7" s="14" t="inlineStr">
        <is>
          <t>Rok zakupu</t>
        </is>
      </c>
      <c r="I7" s="14" t="inlineStr">
        <is>
          <t>Wartość (PLN)</t>
        </is>
      </c>
      <c r="J7" s="14" t="inlineStr">
        <is>
          <t>Cert. CE</t>
        </is>
      </c>
      <c r="K7" s="14" t="inlineStr">
        <is>
          <t>Uwagi</t>
        </is>
      </c>
    </row>
    <row r="8" ht="18" customHeight="1" s="31">
      <c r="B8" s="15" t="n">
        <v>1</v>
      </c>
      <c r="C8" s="16" t="inlineStr">
        <is>
          <t>Lokalizacja 1</t>
        </is>
      </c>
      <c r="D8" s="16" t="inlineStr">
        <is>
          <t>Laser frakcyjny CO2</t>
        </is>
      </c>
      <c r="E8" s="16" t="inlineStr">
        <is>
          <t>Lumenis</t>
        </is>
      </c>
      <c r="F8" s="16" t="inlineStr">
        <is>
          <t>UltraPulse</t>
        </is>
      </c>
      <c r="G8" s="16" t="inlineStr">
        <is>
          <t>SN-88211</t>
        </is>
      </c>
      <c r="H8" s="16" t="inlineStr">
        <is>
          <t>2022</t>
        </is>
      </c>
      <c r="I8" s="17" t="n">
        <v>210000</v>
      </c>
      <c r="J8" s="16" t="inlineStr">
        <is>
          <t>TAK</t>
        </is>
      </c>
      <c r="K8" s="16" t="inlineStr">
        <is>
          <t>gwarancja do 2027</t>
        </is>
      </c>
    </row>
    <row r="9" ht="18" customHeight="1" s="31">
      <c r="B9" s="7" t="n">
        <v>2</v>
      </c>
      <c r="C9" s="6" t="inlineStr">
        <is>
          <t>Lokalizacja 1</t>
        </is>
      </c>
      <c r="D9" s="6" t="inlineStr">
        <is>
          <t>Kriolipoliza</t>
        </is>
      </c>
      <c r="E9" s="6" t="inlineStr">
        <is>
          <t>CoolTech</t>
        </is>
      </c>
      <c r="F9" s="6" t="inlineStr">
        <is>
          <t>Define</t>
        </is>
      </c>
      <c r="G9" s="6" t="inlineStr">
        <is>
          <t>SN-44012</t>
        </is>
      </c>
      <c r="H9" s="6" t="inlineStr">
        <is>
          <t>2023</t>
        </is>
      </c>
      <c r="I9" s="9" t="n">
        <v>100000</v>
      </c>
      <c r="J9" s="6" t="inlineStr">
        <is>
          <t>TAK</t>
        </is>
      </c>
      <c r="K9" s="6" t="inlineStr"/>
    </row>
    <row r="10" ht="18" customHeight="1" s="31">
      <c r="B10" s="15" t="n">
        <v>3</v>
      </c>
      <c r="C10" s="16" t="inlineStr">
        <is>
          <t>Lokalizacja 2</t>
        </is>
      </c>
      <c r="D10" s="16" t="inlineStr">
        <is>
          <t>HIFU Ultraformer</t>
        </is>
      </c>
      <c r="E10" s="16" t="inlineStr">
        <is>
          <t>Classys</t>
        </is>
      </c>
      <c r="F10" s="16" t="inlineStr">
        <is>
          <t>MPT</t>
        </is>
      </c>
      <c r="G10" s="16" t="inlineStr">
        <is>
          <t>SN-77120</t>
        </is>
      </c>
      <c r="H10" s="16" t="inlineStr">
        <is>
          <t>2024</t>
        </is>
      </c>
      <c r="I10" s="17" t="n">
        <v>95000</v>
      </c>
      <c r="J10" s="16" t="inlineStr">
        <is>
          <t>TAK</t>
        </is>
      </c>
      <c r="K10" s="16" t="inlineStr"/>
    </row>
    <row r="11" ht="18" customHeight="1" s="31">
      <c r="B11" s="7" t="n">
        <v>4</v>
      </c>
      <c r="C11" s="6" t="n"/>
      <c r="D11" s="6" t="n"/>
      <c r="E11" s="6" t="n"/>
      <c r="F11" s="6" t="n"/>
      <c r="G11" s="6" t="n"/>
      <c r="H11" s="6" t="n"/>
      <c r="I11" s="9" t="n"/>
      <c r="J11" s="6" t="n"/>
      <c r="K11" s="6" t="n"/>
    </row>
    <row r="12" ht="18" customHeight="1" s="31">
      <c r="B12" s="15" t="n">
        <v>5</v>
      </c>
      <c r="C12" s="16" t="n"/>
      <c r="D12" s="16" t="n"/>
      <c r="E12" s="16" t="n"/>
      <c r="F12" s="16" t="n"/>
      <c r="G12" s="16" t="n"/>
      <c r="H12" s="16" t="n"/>
      <c r="I12" s="17" t="n"/>
      <c r="J12" s="16" t="n"/>
      <c r="K12" s="16" t="n"/>
    </row>
    <row r="13" ht="18" customHeight="1" s="31">
      <c r="B13" s="7" t="n">
        <v>6</v>
      </c>
      <c r="C13" s="6" t="n"/>
      <c r="D13" s="6" t="n"/>
      <c r="E13" s="6" t="n"/>
      <c r="F13" s="6" t="n"/>
      <c r="G13" s="6" t="n"/>
      <c r="H13" s="6" t="n"/>
      <c r="I13" s="9" t="n"/>
      <c r="J13" s="6" t="n"/>
      <c r="K13" s="6" t="n"/>
    </row>
    <row r="14" ht="18" customHeight="1" s="31">
      <c r="B14" s="15" t="n">
        <v>7</v>
      </c>
      <c r="C14" s="16" t="n"/>
      <c r="D14" s="16" t="n"/>
      <c r="E14" s="16" t="n"/>
      <c r="F14" s="16" t="n"/>
      <c r="G14" s="16" t="n"/>
      <c r="H14" s="16" t="n"/>
      <c r="I14" s="17" t="n"/>
      <c r="J14" s="16" t="n"/>
      <c r="K14" s="16" t="n"/>
    </row>
    <row r="15" ht="18" customHeight="1" s="31">
      <c r="B15" s="7" t="n">
        <v>8</v>
      </c>
      <c r="C15" s="6" t="n"/>
      <c r="D15" s="6" t="n"/>
      <c r="E15" s="6" t="n"/>
      <c r="F15" s="6" t="n"/>
      <c r="G15" s="6" t="n"/>
      <c r="H15" s="6" t="n"/>
      <c r="I15" s="9" t="n"/>
      <c r="J15" s="6" t="n"/>
      <c r="K15" s="6" t="n"/>
    </row>
    <row r="16" ht="18" customHeight="1" s="31">
      <c r="B16" s="15" t="n">
        <v>9</v>
      </c>
      <c r="C16" s="16" t="n"/>
      <c r="D16" s="16" t="n"/>
      <c r="E16" s="16" t="n"/>
      <c r="F16" s="16" t="n"/>
      <c r="G16" s="16" t="n"/>
      <c r="H16" s="16" t="n"/>
      <c r="I16" s="17" t="n"/>
      <c r="J16" s="16" t="n"/>
      <c r="K16" s="16" t="n"/>
    </row>
    <row r="17" ht="18" customHeight="1" s="31">
      <c r="B17" s="7" t="n">
        <v>10</v>
      </c>
      <c r="C17" s="6" t="n"/>
      <c r="D17" s="6" t="n"/>
      <c r="E17" s="6" t="n"/>
      <c r="F17" s="6" t="n"/>
      <c r="G17" s="6" t="n"/>
      <c r="H17" s="6" t="n"/>
      <c r="I17" s="9" t="n"/>
      <c r="J17" s="6" t="n"/>
      <c r="K17" s="6" t="n"/>
    </row>
    <row r="18">
      <c r="B18" s="35" t="inlineStr">
        <is>
          <t>RAZEM</t>
        </is>
      </c>
      <c r="I18" s="11">
        <f>SUM(I8:I17)</f>
        <v/>
      </c>
      <c r="J18" s="36" t="n"/>
      <c r="K18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18:H18"/>
    <mergeCell ref="B3:K3"/>
    <mergeCell ref="B5:K5"/>
    <mergeCell ref="B2:K2"/>
  </mergeCells>
  <dataValidations count="1">
    <dataValidation sqref="J8 J9 J10 J11 J12 J13 J14 J15 J16 J17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J18"/>
  <sheetViews>
    <sheetView showGridLines="0" workbookViewId="0">
      <pane ySplit="7" topLeftCell="A8" activePane="bottomLeft" state="frozen"/>
      <selection pane="bottomLeft" activeCell="B3" sqref="B3:J3"/>
    </sheetView>
  </sheetViews>
  <sheetFormatPr baseColWidth="8" defaultRowHeight="15"/>
  <cols>
    <col width="2" customWidth="1" style="31" min="1" max="1"/>
    <col width="6" customWidth="1" style="31" min="2" max="2"/>
    <col width="18" customWidth="1" style="31" min="3" max="3"/>
    <col width="30" customWidth="1" style="31" min="4" max="4"/>
    <col width="18" customWidth="1" style="31" min="5" max="6"/>
    <col width="11" customWidth="1" style="31" min="7" max="7"/>
    <col width="16" customWidth="1" style="31" min="8" max="8"/>
    <col width="18" customWidth="1" style="31" min="9" max="9"/>
    <col width="30" customWidth="1" style="31" min="10" max="10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Sprzęt elektroniczny (EEI) — komputery, kasy fiskalne, terminale, IT.</t>
        </is>
      </c>
    </row>
    <row r="5">
      <c r="B5" s="34" t="inlineStr">
        <is>
          <t>Wskaż lokalizację dla każdego urządzenia. Suma wartości musi zgadzać się z pozycją „Sprzęt elektroniczny (IT, kasy fiskalne)” w sumach danej lokalizacji.</t>
        </is>
      </c>
    </row>
    <row r="7" ht="27.95" customHeight="1" s="31">
      <c r="B7" s="14" t="inlineStr">
        <is>
          <t>Lp.</t>
        </is>
      </c>
      <c r="C7" s="14" t="inlineStr">
        <is>
          <t>Lokalizacja</t>
        </is>
      </c>
      <c r="D7" s="14" t="inlineStr">
        <is>
          <t>Nazwa urządzenia</t>
        </is>
      </c>
      <c r="E7" s="14" t="inlineStr">
        <is>
          <t>Producent</t>
        </is>
      </c>
      <c r="F7" s="14" t="inlineStr">
        <is>
          <t>Model</t>
        </is>
      </c>
      <c r="G7" s="14" t="inlineStr">
        <is>
          <t>Rok zakupu</t>
        </is>
      </c>
      <c r="H7" s="14" t="inlineStr">
        <is>
          <t>Wartość (PLN)</t>
        </is>
      </c>
      <c r="I7" s="14" t="inlineStr">
        <is>
          <t>Nr seryjny</t>
        </is>
      </c>
      <c r="J7" s="14" t="inlineStr">
        <is>
          <t>Uwagi</t>
        </is>
      </c>
    </row>
    <row r="8" ht="18" customHeight="1" s="31">
      <c r="B8" s="15" t="n">
        <v>1</v>
      </c>
      <c r="C8" s="16" t="inlineStr">
        <is>
          <t>Lokalizacja 1</t>
        </is>
      </c>
      <c r="D8" s="16" t="inlineStr">
        <is>
          <t>Komputer stacjonarny</t>
        </is>
      </c>
      <c r="E8" s="16" t="inlineStr">
        <is>
          <t>Dell</t>
        </is>
      </c>
      <c r="F8" s="16" t="inlineStr">
        <is>
          <t>OptiPlex 7010</t>
        </is>
      </c>
      <c r="G8" s="16" t="inlineStr">
        <is>
          <t>2023</t>
        </is>
      </c>
      <c r="H8" s="17" t="n">
        <v>6000</v>
      </c>
      <c r="I8" s="16" t="inlineStr">
        <is>
          <t>DL-9921</t>
        </is>
      </c>
      <c r="J8" s="16" t="inlineStr"/>
    </row>
    <row r="9" ht="18" customHeight="1" s="31">
      <c r="B9" s="7" t="n">
        <v>2</v>
      </c>
      <c r="C9" s="6" t="inlineStr">
        <is>
          <t>Lokalizacja 1</t>
        </is>
      </c>
      <c r="D9" s="6" t="inlineStr">
        <is>
          <t>Kasa fiskalna online</t>
        </is>
      </c>
      <c r="E9" s="6" t="inlineStr">
        <is>
          <t>Posnet</t>
        </is>
      </c>
      <c r="F9" s="6" t="inlineStr">
        <is>
          <t>Thermal XL</t>
        </is>
      </c>
      <c r="G9" s="6" t="inlineStr">
        <is>
          <t>2022</t>
        </is>
      </c>
      <c r="H9" s="9" t="n">
        <v>3500</v>
      </c>
      <c r="I9" s="6" t="inlineStr">
        <is>
          <t>PN-1123</t>
        </is>
      </c>
      <c r="J9" s="6" t="inlineStr"/>
    </row>
    <row r="10" ht="18" customHeight="1" s="31">
      <c r="B10" s="15" t="n">
        <v>3</v>
      </c>
      <c r="C10" s="16" t="inlineStr">
        <is>
          <t>Lokalizacja 1</t>
        </is>
      </c>
      <c r="D10" s="16" t="inlineStr">
        <is>
          <t>Terminal płatniczy</t>
        </is>
      </c>
      <c r="E10" s="16" t="inlineStr">
        <is>
          <t>Ingenico</t>
        </is>
      </c>
      <c r="F10" s="16" t="inlineStr">
        <is>
          <t>Move 5000</t>
        </is>
      </c>
      <c r="G10" s="16" t="inlineStr">
        <is>
          <t>2023</t>
        </is>
      </c>
      <c r="H10" s="17" t="n">
        <v>2500</v>
      </c>
      <c r="I10" s="16" t="inlineStr">
        <is>
          <t>IG-5521</t>
        </is>
      </c>
      <c r="J10" s="16" t="inlineStr"/>
    </row>
    <row r="11" ht="18" customHeight="1" s="31">
      <c r="B11" s="7" t="n">
        <v>4</v>
      </c>
      <c r="C11" s="6" t="inlineStr">
        <is>
          <t>Lokalizacja 1</t>
        </is>
      </c>
      <c r="D11" s="6" t="inlineStr">
        <is>
          <t>Laptop recepcja</t>
        </is>
      </c>
      <c r="E11" s="6" t="inlineStr">
        <is>
          <t>Lenovo</t>
        </is>
      </c>
      <c r="F11" s="6" t="inlineStr">
        <is>
          <t>ThinkPad E14</t>
        </is>
      </c>
      <c r="G11" s="6" t="inlineStr">
        <is>
          <t>2024</t>
        </is>
      </c>
      <c r="H11" s="9" t="n">
        <v>30000</v>
      </c>
      <c r="I11" s="6" t="inlineStr">
        <is>
          <t>LN-3321</t>
        </is>
      </c>
      <c r="J11" s="6" t="inlineStr"/>
    </row>
    <row r="12" ht="18" customHeight="1" s="31">
      <c r="B12" s="15" t="n">
        <v>5</v>
      </c>
      <c r="C12" s="16" t="inlineStr">
        <is>
          <t>Lokalizacja 2</t>
        </is>
      </c>
      <c r="D12" s="16" t="inlineStr">
        <is>
          <t>Zestaw POS</t>
        </is>
      </c>
      <c r="E12" s="16" t="inlineStr">
        <is>
          <t>Elzab</t>
        </is>
      </c>
      <c r="F12" s="16" t="inlineStr">
        <is>
          <t>Jota</t>
        </is>
      </c>
      <c r="G12" s="16" t="inlineStr">
        <is>
          <t>2023</t>
        </is>
      </c>
      <c r="H12" s="17" t="n">
        <v>18000</v>
      </c>
      <c r="I12" s="16" t="inlineStr">
        <is>
          <t>EL-7781</t>
        </is>
      </c>
      <c r="J12" s="16" t="inlineStr"/>
    </row>
    <row r="13" ht="18" customHeight="1" s="31">
      <c r="B13" s="7" t="n">
        <v>6</v>
      </c>
      <c r="C13" s="6" t="n"/>
      <c r="D13" s="6" t="n"/>
      <c r="E13" s="6" t="n"/>
      <c r="F13" s="6" t="n"/>
      <c r="G13" s="6" t="n"/>
      <c r="H13" s="9" t="n"/>
      <c r="I13" s="6" t="n"/>
      <c r="J13" s="6" t="n"/>
    </row>
    <row r="14" ht="18" customHeight="1" s="31">
      <c r="B14" s="15" t="n">
        <v>7</v>
      </c>
      <c r="C14" s="16" t="n"/>
      <c r="D14" s="16" t="n"/>
      <c r="E14" s="16" t="n"/>
      <c r="F14" s="16" t="n"/>
      <c r="G14" s="16" t="n"/>
      <c r="H14" s="17" t="n"/>
      <c r="I14" s="16" t="n"/>
      <c r="J14" s="16" t="n"/>
    </row>
    <row r="15" ht="18" customHeight="1" s="31">
      <c r="B15" s="7" t="n">
        <v>8</v>
      </c>
      <c r="C15" s="6" t="n"/>
      <c r="D15" s="6" t="n"/>
      <c r="E15" s="6" t="n"/>
      <c r="F15" s="6" t="n"/>
      <c r="G15" s="6" t="n"/>
      <c r="H15" s="9" t="n"/>
      <c r="I15" s="6" t="n"/>
      <c r="J15" s="6" t="n"/>
    </row>
    <row r="16" ht="18" customHeight="1" s="31">
      <c r="B16" s="15" t="n">
        <v>9</v>
      </c>
      <c r="C16" s="16" t="n"/>
      <c r="D16" s="16" t="n"/>
      <c r="E16" s="16" t="n"/>
      <c r="F16" s="16" t="n"/>
      <c r="G16" s="16" t="n"/>
      <c r="H16" s="17" t="n"/>
      <c r="I16" s="16" t="n"/>
      <c r="J16" s="16" t="n"/>
    </row>
    <row r="17" ht="18" customHeight="1" s="31">
      <c r="B17" s="7" t="n">
        <v>10</v>
      </c>
      <c r="C17" s="6" t="n"/>
      <c r="D17" s="6" t="n"/>
      <c r="E17" s="6" t="n"/>
      <c r="F17" s="6" t="n"/>
      <c r="G17" s="6" t="n"/>
      <c r="H17" s="9" t="n"/>
      <c r="I17" s="6" t="n"/>
      <c r="J17" s="6" t="n"/>
    </row>
    <row r="18">
      <c r="B18" s="35" t="inlineStr">
        <is>
          <t>RAZEM</t>
        </is>
      </c>
      <c r="H18" s="11">
        <f>SUM(H8:H17)</f>
        <v/>
      </c>
      <c r="I18" s="36" t="n"/>
      <c r="J18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18:G18"/>
    <mergeCell ref="B3:J3"/>
    <mergeCell ref="B5:J5"/>
    <mergeCell ref="B2:J2"/>
  </mergeCell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G14"/>
  <sheetViews>
    <sheetView showGridLines="0" workbookViewId="0">
      <selection activeCell="A1" sqref="A1"/>
    </sheetView>
  </sheetViews>
  <sheetFormatPr baseColWidth="8" defaultRowHeight="15"/>
  <cols>
    <col width="2" customWidth="1" style="31" min="1" max="1"/>
    <col width="6" customWidth="1" style="31" min="2" max="2"/>
    <col width="15" customWidth="1" style="31" min="3" max="3"/>
    <col width="42" customWidth="1" style="31" min="4" max="4"/>
    <col width="18" customWidth="1" style="31" min="5" max="6"/>
    <col width="24" customWidth="1" style="31" min="7" max="7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Sekcja 7 — historia szkodowości z ostatnich 5 lat.</t>
        </is>
      </c>
    </row>
    <row r="5" ht="20.1" customHeight="1" s="31">
      <c r="B5" s="28" t="inlineStr">
        <is>
          <t>SEKCJA 7 — HISTORIA SZKODOWOŚCI (OSTATNIE 5 LAT)</t>
        </is>
      </c>
      <c r="C5" s="29" t="n"/>
      <c r="D5" s="29" t="n"/>
      <c r="E5" s="29" t="n"/>
      <c r="F5" s="29" t="n"/>
      <c r="G5" s="29" t="n"/>
    </row>
    <row r="6">
      <c r="B6" s="19" t="inlineStr">
        <is>
          <t>Brak szkód w ostatnich 5 latach</t>
        </is>
      </c>
      <c r="C6" s="7" t="inlineStr">
        <is>
          <t>NIE</t>
        </is>
      </c>
      <c r="D6" s="13" t="inlineStr">
        <is>
          <t>jeśli NIE — wypełnij tabelę poniżej</t>
        </is>
      </c>
    </row>
    <row r="8" ht="27.95" customHeight="1" s="31">
      <c r="B8" s="14" t="inlineStr">
        <is>
          <t>Lp.</t>
        </is>
      </c>
      <c r="C8" s="14" t="inlineStr">
        <is>
          <t>Data szkody</t>
        </is>
      </c>
      <c r="D8" s="14" t="inlineStr">
        <is>
          <t>Przyczyna</t>
        </is>
      </c>
      <c r="E8" s="14" t="inlineStr">
        <is>
          <t>Kwota szkody (PLN)</t>
        </is>
      </c>
      <c r="F8" s="14" t="inlineStr">
        <is>
          <t>Odszkodowanie (PLN)</t>
        </is>
      </c>
      <c r="G8" s="14" t="inlineStr">
        <is>
          <t>Ubezpieczyciel</t>
        </is>
      </c>
    </row>
    <row r="9" ht="18" customHeight="1" s="31">
      <c r="B9" s="20" t="n">
        <v>1</v>
      </c>
      <c r="C9" s="8" t="inlineStr">
        <is>
          <t>12.01.2024</t>
        </is>
      </c>
      <c r="D9" s="6" t="inlineStr">
        <is>
          <t>Zalanie lokalu z pionu wodnego</t>
        </is>
      </c>
      <c r="E9" s="9" t="n">
        <v>28000</v>
      </c>
      <c r="F9" s="9" t="n">
        <v>22000</v>
      </c>
      <c r="G9" s="6" t="inlineStr">
        <is>
          <t>PZU</t>
        </is>
      </c>
    </row>
    <row r="10" ht="18" customHeight="1" s="31">
      <c r="B10" s="20" t="n">
        <v>2</v>
      </c>
      <c r="C10" s="8" t="inlineStr">
        <is>
          <t>03.08.2025</t>
        </is>
      </c>
      <c r="D10" s="6" t="inlineStr">
        <is>
          <t>Przepięcie — uszkodzenie lasera</t>
        </is>
      </c>
      <c r="E10" s="9" t="n">
        <v>15000</v>
      </c>
      <c r="F10" s="9" t="n">
        <v>0</v>
      </c>
      <c r="G10" s="6" t="inlineStr">
        <is>
          <t>Warta</t>
        </is>
      </c>
    </row>
    <row r="11" ht="18" customHeight="1" s="31">
      <c r="B11" s="20" t="n">
        <v>3</v>
      </c>
      <c r="C11" s="8" t="n"/>
      <c r="D11" s="6" t="n"/>
      <c r="E11" s="9" t="n"/>
      <c r="F11" s="9" t="n"/>
      <c r="G11" s="6" t="n"/>
    </row>
    <row r="12" ht="18" customHeight="1" s="31">
      <c r="B12" s="20" t="n">
        <v>4</v>
      </c>
      <c r="C12" s="8" t="n"/>
      <c r="D12" s="6" t="n"/>
      <c r="E12" s="9" t="n"/>
      <c r="F12" s="9" t="n"/>
      <c r="G12" s="6" t="n"/>
    </row>
    <row r="13" ht="18" customHeight="1" s="31">
      <c r="B13" s="20" t="n">
        <v>5</v>
      </c>
      <c r="C13" s="8" t="n"/>
      <c r="D13" s="6" t="n"/>
      <c r="E13" s="9" t="n"/>
      <c r="F13" s="9" t="n"/>
      <c r="G13" s="6" t="n"/>
    </row>
    <row r="14">
      <c r="B14" s="35" t="inlineStr">
        <is>
          <t>RAZEM</t>
        </is>
      </c>
      <c r="E14" s="11">
        <f>SUM(E9:E13)</f>
        <v/>
      </c>
      <c r="F14" s="11">
        <f>SUM(F9:F13)</f>
        <v/>
      </c>
      <c r="G14" s="36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mergeCells count="4">
    <mergeCell ref="B3:G3"/>
    <mergeCell ref="B2:G2"/>
    <mergeCell ref="B5:G5"/>
    <mergeCell ref="B14:D14"/>
  </mergeCells>
  <dataValidations count="1">
    <dataValidation sqref="C6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0D9488"/>
    <outlinePr summaryBelow="1" summaryRight="1"/>
    <pageSetUpPr fitToPage="1"/>
  </sheetPr>
  <dimension ref="B2:F51"/>
  <sheetViews>
    <sheetView showGridLines="0" topLeftCell="A25" workbookViewId="0">
      <selection activeCell="H12" sqref="H12"/>
    </sheetView>
  </sheetViews>
  <sheetFormatPr baseColWidth="8" defaultRowHeight="15"/>
  <cols>
    <col width="2" customWidth="1" style="31" min="1" max="1"/>
    <col width="46" customWidth="1" style="31" min="2" max="2"/>
    <col width="18" customWidth="1" style="31" min="3" max="5"/>
    <col width="20" customWidth="1" style="31" min="6" max="6"/>
  </cols>
  <sheetData>
    <row r="2" ht="24" customHeight="1" s="31">
      <c r="B2" s="30" t="inlineStr">
        <is>
          <t>WNIOSEK O UBEZPIECZENIE MAJĄTKOWE</t>
        </is>
      </c>
    </row>
    <row r="3">
      <c r="B3" s="32" t="inlineStr">
        <is>
          <t>Zakres, łączna suma ubezpieczenia, dotychczasowa polisa i oświadczenia.</t>
        </is>
      </c>
    </row>
    <row r="5" ht="20.1" customHeight="1" s="31">
      <c r="B5" s="28" t="inlineStr">
        <is>
          <t>SEKCJA 5 — ZAKRES UBEZPIECZENIA (zaznacz potrzebne)</t>
        </is>
      </c>
      <c r="C5" s="29" t="n"/>
      <c r="D5" s="29" t="n"/>
      <c r="E5" s="29" t="n"/>
      <c r="F5" s="29" t="n"/>
    </row>
    <row r="6">
      <c r="B6" s="19" t="inlineStr">
        <is>
          <t>Mienie od ognia i zdarzeń losowych</t>
        </is>
      </c>
      <c r="C6" s="7" t="inlineStr">
        <is>
          <t>TAK</t>
        </is>
      </c>
    </row>
    <row r="7">
      <c r="B7" s="21" t="inlineStr">
        <is>
          <t xml:space="preserve">      ↳ Szyby i inne przedmioty od stłuczenia</t>
        </is>
      </c>
      <c r="C7" s="7" t="inlineStr">
        <is>
          <t>TAK</t>
        </is>
      </c>
      <c r="D7" s="13" t="inlineStr">
        <is>
          <t>składowa „Mienie od ognia”</t>
        </is>
      </c>
    </row>
    <row r="8">
      <c r="B8" s="21" t="inlineStr">
        <is>
          <t xml:space="preserve">      ↳ Dewastacja / wandalizm</t>
        </is>
      </c>
      <c r="C8" s="7" t="inlineStr">
        <is>
          <t>TAK</t>
        </is>
      </c>
      <c r="D8" s="13" t="inlineStr">
        <is>
          <t>składowa „Mienie od ognia”</t>
        </is>
      </c>
    </row>
    <row r="9">
      <c r="B9" s="21" t="inlineStr">
        <is>
          <t xml:space="preserve">      ↳ Przepięcia elektryczne</t>
        </is>
      </c>
      <c r="C9" s="7" t="inlineStr">
        <is>
          <t>TAK</t>
        </is>
      </c>
      <c r="D9" s="13" t="inlineStr">
        <is>
          <t>składowa „Mienie od ognia”</t>
        </is>
      </c>
    </row>
    <row r="10">
      <c r="B10" s="19" t="inlineStr">
        <is>
          <t>Kradzież z włamaniem i rabunek</t>
        </is>
      </c>
      <c r="C10" s="7" t="inlineStr">
        <is>
          <t>TAK</t>
        </is>
      </c>
    </row>
    <row r="11">
      <c r="B11" s="19" t="inlineStr">
        <is>
          <t>Sprzęt elektroniczny (EEI)</t>
        </is>
      </c>
      <c r="C11" s="7" t="inlineStr">
        <is>
          <t>TAK</t>
        </is>
      </c>
    </row>
    <row r="12">
      <c r="B12" s="19" t="inlineStr">
        <is>
          <t>Sprzęt medyczny / aparatura</t>
        </is>
      </c>
      <c r="C12" s="7" t="inlineStr">
        <is>
          <t>TAK</t>
        </is>
      </c>
    </row>
    <row r="14" ht="20.1" customHeight="1" s="31">
      <c r="B14" s="28" t="inlineStr">
        <is>
          <t>SEKCJA 6 — ŁĄCZNA SUMA UBEZPIECZENIA (WSZYSTKIE LOKALIZACJE)</t>
        </is>
      </c>
      <c r="C14" s="29" t="n"/>
      <c r="D14" s="29" t="n"/>
      <c r="E14" s="29" t="n"/>
      <c r="F14" s="29" t="n"/>
    </row>
    <row r="15" ht="27.95" customHeight="1" s="31">
      <c r="B15" s="14" t="inlineStr">
        <is>
          <t>Kategoria</t>
        </is>
      </c>
      <c r="C15" s="14" t="inlineStr">
        <is>
          <t>Lokalizacja 1</t>
        </is>
      </c>
      <c r="D15" s="14" t="inlineStr">
        <is>
          <t>Lokalizacja 2</t>
        </is>
      </c>
      <c r="E15" s="14" t="inlineStr">
        <is>
          <t>Lokalizacja 3</t>
        </is>
      </c>
      <c r="F15" s="14" t="inlineStr">
        <is>
          <t>RAZEM</t>
        </is>
      </c>
    </row>
    <row r="16">
      <c r="B16" s="22" t="inlineStr">
        <is>
          <t>Budynek / nakłady adaptacyjne (najemcy)</t>
        </is>
      </c>
      <c r="C16" s="12">
        <f>'2. Lokalizacja 1'!C46</f>
        <v/>
      </c>
      <c r="D16" s="12">
        <f>'3. Lokalizacja 2'!C46</f>
        <v/>
      </c>
      <c r="E16" s="12">
        <f>'4. Lokalizacja 3'!C46</f>
        <v/>
      </c>
      <c r="F16" s="23">
        <f>SUM(C16:E16)</f>
        <v/>
      </c>
    </row>
    <row r="17">
      <c r="B17" s="22" t="inlineStr">
        <is>
          <t>Wyposażenie stałe (meble, zabudowa)</t>
        </is>
      </c>
      <c r="C17" s="12">
        <f>'2. Lokalizacja 1'!C47</f>
        <v/>
      </c>
      <c r="D17" s="12">
        <f>'3. Lokalizacja 2'!C47</f>
        <v/>
      </c>
      <c r="E17" s="12">
        <f>'4. Lokalizacja 3'!C47</f>
        <v/>
      </c>
      <c r="F17" s="23">
        <f>SUM(C17:E17)</f>
        <v/>
      </c>
    </row>
    <row r="18">
      <c r="B18" s="22" t="inlineStr">
        <is>
          <t>Maszyny i urządzenia produkcyjne</t>
        </is>
      </c>
      <c r="C18" s="12">
        <f>'2. Lokalizacja 1'!C48</f>
        <v/>
      </c>
      <c r="D18" s="12">
        <f>'3. Lokalizacja 2'!C48</f>
        <v/>
      </c>
      <c r="E18" s="12">
        <f>'4. Lokalizacja 3'!C48</f>
        <v/>
      </c>
      <c r="F18" s="23">
        <f>SUM(C18:E18)</f>
        <v/>
      </c>
    </row>
    <row r="19">
      <c r="B19" s="22" t="inlineStr">
        <is>
          <t>Środki obrotowe (towary, kosmetyki, preparaty)</t>
        </is>
      </c>
      <c r="C19" s="12">
        <f>'2. Lokalizacja 1'!C49</f>
        <v/>
      </c>
      <c r="D19" s="12">
        <f>'3. Lokalizacja 2'!C49</f>
        <v/>
      </c>
      <c r="E19" s="12">
        <f>'4. Lokalizacja 3'!C49</f>
        <v/>
      </c>
      <c r="F19" s="23">
        <f>SUM(C19:E19)</f>
        <v/>
      </c>
    </row>
    <row r="20">
      <c r="B20" s="22" t="inlineStr">
        <is>
          <t>Sprzęt elektroniczny (IT, kasy fiskalne)</t>
        </is>
      </c>
      <c r="C20" s="12">
        <f>'2. Lokalizacja 1'!C50</f>
        <v/>
      </c>
      <c r="D20" s="12">
        <f>'3. Lokalizacja 2'!C50</f>
        <v/>
      </c>
      <c r="E20" s="12">
        <f>'4. Lokalizacja 3'!C50</f>
        <v/>
      </c>
      <c r="F20" s="23">
        <f>SUM(C20:E20)</f>
        <v/>
      </c>
    </row>
    <row r="21">
      <c r="B21" s="22" t="inlineStr">
        <is>
          <t>Sprzęt medyczny / estetyczny</t>
        </is>
      </c>
      <c r="C21" s="12">
        <f>'2. Lokalizacja 1'!C51</f>
        <v/>
      </c>
      <c r="D21" s="12">
        <f>'3. Lokalizacja 2'!C51</f>
        <v/>
      </c>
      <c r="E21" s="12">
        <f>'4. Lokalizacja 3'!C51</f>
        <v/>
      </c>
      <c r="F21" s="23">
        <f>SUM(C21:E21)</f>
        <v/>
      </c>
    </row>
    <row r="22">
      <c r="B22" s="22" t="inlineStr">
        <is>
          <t>Gotówka w lokalu (max jednorazowo)</t>
        </is>
      </c>
      <c r="C22" s="12">
        <f>'2. Lokalizacja 1'!C52</f>
        <v/>
      </c>
      <c r="D22" s="12">
        <f>'3. Lokalizacja 2'!C52</f>
        <v/>
      </c>
      <c r="E22" s="12">
        <f>'4. Lokalizacja 3'!C52</f>
        <v/>
      </c>
      <c r="F22" s="23">
        <f>SUM(C22:E22)</f>
        <v/>
      </c>
    </row>
    <row r="23">
      <c r="B23" s="22" t="inlineStr">
        <is>
          <t>Gotówka w transporcie (max jednorazowo)</t>
        </is>
      </c>
      <c r="C23" s="12">
        <f>'2. Lokalizacja 1'!C53</f>
        <v/>
      </c>
      <c r="D23" s="12">
        <f>'3. Lokalizacja 2'!C53</f>
        <v/>
      </c>
      <c r="E23" s="12">
        <f>'4. Lokalizacja 3'!C53</f>
        <v/>
      </c>
      <c r="F23" s="23">
        <f>SUM(C23:E23)</f>
        <v/>
      </c>
    </row>
    <row r="24">
      <c r="B24" s="22" t="inlineStr">
        <is>
          <t>Szyby i inne przedmioty od stłuczenia</t>
        </is>
      </c>
      <c r="C24" s="12">
        <f>'2. Lokalizacja 1'!C54</f>
        <v/>
      </c>
      <c r="D24" s="12">
        <f>'3. Lokalizacja 2'!C54</f>
        <v/>
      </c>
      <c r="E24" s="12">
        <f>'4. Lokalizacja 3'!C54</f>
        <v/>
      </c>
      <c r="F24" s="23">
        <f>SUM(C24:E24)</f>
        <v/>
      </c>
    </row>
    <row r="25">
      <c r="B25" s="22" t="inlineStr">
        <is>
          <t>Mienie pracowników</t>
        </is>
      </c>
      <c r="C25" s="12">
        <f>'2. Lokalizacja 1'!C55</f>
        <v/>
      </c>
      <c r="D25" s="12">
        <f>'3. Lokalizacja 2'!C55</f>
        <v/>
      </c>
      <c r="E25" s="12">
        <f>'4. Lokalizacja 3'!C55</f>
        <v/>
      </c>
      <c r="F25" s="23">
        <f>SUM(C25:E25)</f>
        <v/>
      </c>
    </row>
    <row r="26">
      <c r="B26" s="24" t="inlineStr">
        <is>
          <t>ŁĄCZNA SUMA UBEZPIECZENIA</t>
        </is>
      </c>
      <c r="C26" s="11">
        <f>SUM(C16:C25)</f>
        <v/>
      </c>
      <c r="D26" s="11">
        <f>SUM(D16:D25)</f>
        <v/>
      </c>
      <c r="E26" s="11">
        <f>SUM(E16:E25)</f>
        <v/>
      </c>
      <c r="F26" s="11">
        <f>SUM(F16:F25)</f>
        <v/>
      </c>
    </row>
    <row r="28" ht="20.1" customHeight="1" s="31">
      <c r="B28" s="28" t="inlineStr">
        <is>
          <t>SEKCJA 8 — DOTYCHCZASOWE UBEZPIECZENIE MIENIA</t>
        </is>
      </c>
      <c r="C28" s="29" t="n"/>
      <c r="D28" s="29" t="n"/>
      <c r="E28" s="29" t="n"/>
      <c r="F28" s="29" t="n"/>
    </row>
    <row r="29">
      <c r="B29" s="37" t="inlineStr">
        <is>
          <t>Posiada aktualną polisę na mienie</t>
        </is>
      </c>
      <c r="C29" s="7" t="inlineStr">
        <is>
          <t>TAK</t>
        </is>
      </c>
    </row>
    <row r="30">
      <c r="B30" s="37" t="inlineStr">
        <is>
          <t>Towarzystwo ubezpieczeń</t>
        </is>
      </c>
      <c r="C30" s="6" t="inlineStr">
        <is>
          <t>PZU</t>
        </is>
      </c>
      <c r="D30" s="5" t="inlineStr">
        <is>
          <t>np. PZU, Allianz, Warta</t>
        </is>
      </c>
    </row>
    <row r="31">
      <c r="B31" s="37" t="inlineStr">
        <is>
          <t>Numer polisy</t>
        </is>
      </c>
      <c r="C31" s="6" t="inlineStr">
        <is>
          <t>POL-2025-99812</t>
        </is>
      </c>
    </row>
    <row r="32">
      <c r="B32" s="37" t="inlineStr">
        <is>
          <t>Ważność polisy do</t>
        </is>
      </c>
      <c r="C32" s="8" t="inlineStr">
        <is>
          <t>31.12.2026</t>
        </is>
      </c>
      <c r="D32" s="5" t="inlineStr">
        <is>
          <t>dd.mm.rrrr</t>
        </is>
      </c>
    </row>
    <row r="33">
      <c r="B33" s="37" t="inlineStr">
        <is>
          <t>Roczna składka (PLN)</t>
        </is>
      </c>
      <c r="C33" s="9" t="n">
        <v>14500</v>
      </c>
    </row>
    <row r="35" ht="20.1" customHeight="1" s="31">
      <c r="B35" s="28" t="inlineStr">
        <is>
          <t>SEKCJA 9 — UWAGI ORAZ OŚWIADCZENIA</t>
        </is>
      </c>
      <c r="C35" s="29" t="n"/>
      <c r="D35" s="29" t="n"/>
      <c r="E35" s="29" t="n"/>
      <c r="F35" s="29" t="n"/>
    </row>
    <row r="36">
      <c r="B36" s="25" t="inlineStr">
        <is>
          <t>Uwagi, opis działalności, pytania do agenta</t>
        </is>
      </c>
    </row>
    <row r="37">
      <c r="B37" s="38" t="inlineStr">
        <is>
          <t>Prosimy o wycenę wariantu z ochroną cyber.</t>
        </is>
      </c>
      <c r="C37" s="39" t="n"/>
      <c r="D37" s="39" t="n"/>
      <c r="E37" s="39" t="n"/>
      <c r="F37" s="40" t="n"/>
    </row>
    <row r="38">
      <c r="B38" s="41" t="n"/>
      <c r="C38" s="42" t="n"/>
      <c r="D38" s="42" t="n"/>
      <c r="E38" s="42" t="n"/>
      <c r="F38" s="43" t="n"/>
    </row>
    <row r="39">
      <c r="B39" s="41" t="n"/>
      <c r="C39" s="42" t="n"/>
      <c r="D39" s="42" t="n"/>
      <c r="E39" s="42" t="n"/>
      <c r="F39" s="43" t="n"/>
    </row>
    <row r="40">
      <c r="B40" s="41" t="n"/>
      <c r="C40" s="42" t="n"/>
      <c r="D40" s="42" t="n"/>
      <c r="E40" s="42" t="n"/>
      <c r="F40" s="43" t="n"/>
    </row>
    <row r="41">
      <c r="B41" s="44" t="n"/>
      <c r="C41" s="45" t="n"/>
      <c r="D41" s="45" t="n"/>
      <c r="E41" s="45" t="n"/>
      <c r="F41" s="46" t="n"/>
    </row>
    <row r="43" ht="15.95" customHeight="1" s="31">
      <c r="B43" s="37" t="inlineStr">
        <is>
          <t>Oświadczam, że wszystkie informacje podane w niniejszym wniosku są zgodne z prawdą i odzwierciedlają rzeczywisty stan faktyczny.</t>
        </is>
      </c>
      <c r="C43" s="26" t="n"/>
    </row>
    <row r="44" ht="15.95" customHeight="1" s="31"/>
    <row r="46" ht="15.95" customHeight="1" s="31">
      <c r="B46" s="37" t="inlineStr">
        <is>
          <t>Wyrażam zgodę na przetwarzanie moich danych osobowych przez Aura Expert sp. z o.o. w celu przygotowania oferty ubezpieczenia, zgodnie z RODO.</t>
        </is>
      </c>
      <c r="C46" s="26" t="n"/>
    </row>
    <row r="47" ht="15.95" customHeight="1" s="31"/>
    <row r="50">
      <c r="B50" s="37" t="inlineStr">
        <is>
          <t>Miejscowość i data *</t>
        </is>
      </c>
      <c r="C50" s="4" t="inlineStr">
        <is>
          <t>Warszawa, 22.09.2026</t>
        </is>
      </c>
    </row>
    <row r="51">
      <c r="B51" s="37" t="inlineStr">
        <is>
          <t>Imię, nazwisko i podpis osoby uprawnionej *</t>
        </is>
      </c>
      <c r="C51" s="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9">
    <mergeCell ref="B43:B44"/>
    <mergeCell ref="B2:F2"/>
    <mergeCell ref="B28:F28"/>
    <mergeCell ref="B37:F41"/>
    <mergeCell ref="B3:F3"/>
    <mergeCell ref="B5:F5"/>
    <mergeCell ref="B46:B47"/>
    <mergeCell ref="B14:F14"/>
    <mergeCell ref="B35:F35"/>
  </mergeCells>
  <dataValidations count="1">
    <dataValidation sqref="C6:C12 C29 C43 C46" showDropDown="0" showInputMessage="0" showErrorMessage="0" allowBlank="1" errorTitle="Nieprawidłowa wartość" error="Wybierz wartość z listy rozwijanej." type="list">
      <formula1>"TAK,NIE"</formula1>
    </dataValidation>
  </dataValidations>
  <printOptions horizontalCentered="1"/>
  <pageMargins left="0.4" right="0.4" top="0.5" bottom="0.5" header="0.2" footer="0.2"/>
  <pageSetup orientation="landscape" paperSize="9" fitToHeight="0"/>
  <headerFooter>
    <oddHeader/>
    <oddFooter>&amp;L&amp;8 &amp;K78716CWniosek o ubezpieczenie majątkowe — Aura Expert&amp;R&amp;8 &amp;K78716C&amp;A — str. &amp;P z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4" customWidth="1" style="31" min="1" max="11"/>
  </cols>
  <sheetData>
    <row r="1">
      <c r="A1" s="27" t="inlineStr">
        <is>
          <t>forma_prawna</t>
        </is>
      </c>
      <c r="B1" s="27" t="inlineStr">
        <is>
          <t>pracownicy</t>
        </is>
      </c>
      <c r="C1" s="27" t="inlineStr">
        <is>
          <t>obrot</t>
        </is>
      </c>
      <c r="D1" s="27" t="inlineStr">
        <is>
          <t>typ_lokalu</t>
        </is>
      </c>
      <c r="E1" s="27" t="inlineStr">
        <is>
          <t>material_scian</t>
        </is>
      </c>
      <c r="F1" s="27" t="inlineStr">
        <is>
          <t>pokrycie_dachu</t>
        </is>
      </c>
      <c r="G1" s="27" t="inlineStr">
        <is>
          <t>stan_techniczny</t>
        </is>
      </c>
      <c r="H1" s="27" t="inlineStr">
        <is>
          <t>ogrzewanie</t>
        </is>
      </c>
      <c r="I1" s="27" t="inlineStr">
        <is>
          <t>alarm_typ</t>
        </is>
      </c>
      <c r="J1" s="27" t="inlineStr">
        <is>
          <t>sejf_klasa</t>
        </is>
      </c>
      <c r="K1" s="27" t="inlineStr">
        <is>
          <t>lokalizacje</t>
        </is>
      </c>
    </row>
    <row r="2">
      <c r="A2" t="inlineStr">
        <is>
          <t>Jednoosobowa działalność gospodarcza</t>
        </is>
      </c>
      <c r="B2" t="inlineStr">
        <is>
          <t>1</t>
        </is>
      </c>
      <c r="C2" t="inlineStr">
        <is>
          <t>do 200 tys. PLN</t>
        </is>
      </c>
      <c r="D2" t="inlineStr">
        <is>
          <t>Lokal usługowy</t>
        </is>
      </c>
      <c r="E2" t="inlineStr">
        <is>
          <t>Cegła / mur</t>
        </is>
      </c>
      <c r="F2" t="inlineStr">
        <is>
          <t>Papa / asfalt</t>
        </is>
      </c>
      <c r="G2" t="inlineStr">
        <is>
          <t>Bardzo dobry</t>
        </is>
      </c>
      <c r="H2" t="inlineStr">
        <is>
          <t>Centralne (sieciowe)</t>
        </is>
      </c>
      <c r="I2" t="inlineStr">
        <is>
          <t>brak</t>
        </is>
      </c>
      <c r="J2" t="inlineStr">
        <is>
          <t>brak</t>
        </is>
      </c>
      <c r="K2" t="inlineStr">
        <is>
          <t>Lokalizacja 1</t>
        </is>
      </c>
    </row>
    <row r="3">
      <c r="A3" t="inlineStr">
        <is>
          <t>Spółka cywilna</t>
        </is>
      </c>
      <c r="B3" t="inlineStr">
        <is>
          <t>2–5</t>
        </is>
      </c>
      <c r="C3" t="inlineStr">
        <is>
          <t>200–500 tys. PLN</t>
        </is>
      </c>
      <c r="D3" t="inlineStr">
        <is>
          <t>Budynek wolnostojący</t>
        </is>
      </c>
      <c r="E3" t="inlineStr">
        <is>
          <t>Żelbet / beton</t>
        </is>
      </c>
      <c r="F3" t="inlineStr">
        <is>
          <t>Dachówka ceramiczna</t>
        </is>
      </c>
      <c r="G3" t="inlineStr">
        <is>
          <t>Dobry</t>
        </is>
      </c>
      <c r="H3" t="inlineStr">
        <is>
          <t>Gazowe</t>
        </is>
      </c>
      <c r="I3" t="inlineStr">
        <is>
          <t>Lokalny (sygnał dźwiękowy)</t>
        </is>
      </c>
      <c r="J3" t="inlineStr">
        <is>
          <t>I</t>
        </is>
      </c>
      <c r="K3" t="inlineStr">
        <is>
          <t>Lokalizacja 2</t>
        </is>
      </c>
    </row>
    <row r="4">
      <c r="A4" t="inlineStr">
        <is>
          <t>Spółka z o.o.</t>
        </is>
      </c>
      <c r="B4" t="inlineStr">
        <is>
          <t>6–10</t>
        </is>
      </c>
      <c r="C4" t="inlineStr">
        <is>
          <t>500 tys. – 1 mln PLN</t>
        </is>
      </c>
      <c r="D4" t="inlineStr">
        <is>
          <t>Lokal w centrum handlowym</t>
        </is>
      </c>
      <c r="E4" t="inlineStr">
        <is>
          <t>Drewno / szkielet drewniany</t>
        </is>
      </c>
      <c r="F4" t="inlineStr">
        <is>
          <t>Blacha trapezowa / panele</t>
        </is>
      </c>
      <c r="G4" t="inlineStr">
        <is>
          <t>Dostateczny</t>
        </is>
      </c>
      <c r="H4" t="inlineStr">
        <is>
          <t>Elektryczne</t>
        </is>
      </c>
      <c r="I4" t="inlineStr">
        <is>
          <t>Monitoring przez stację (SMS)</t>
        </is>
      </c>
      <c r="J4" t="inlineStr">
        <is>
          <t>II</t>
        </is>
      </c>
      <c r="K4" t="inlineStr">
        <is>
          <t>Lokalizacja 3</t>
        </is>
      </c>
    </row>
    <row r="5">
      <c r="A5" t="inlineStr">
        <is>
          <t>Spółka akcyjna</t>
        </is>
      </c>
      <c r="B5" t="inlineStr">
        <is>
          <t>11–25</t>
        </is>
      </c>
      <c r="C5" t="inlineStr">
        <is>
          <t>1–3 mln PLN</t>
        </is>
      </c>
      <c r="D5" t="inlineStr">
        <is>
          <t>Dom jednorodzinny</t>
        </is>
      </c>
      <c r="E5" t="inlineStr">
        <is>
          <t>Gazobeton / bloczki</t>
        </is>
      </c>
      <c r="F5" t="inlineStr">
        <is>
          <t>Strop żelbetowy (flat)</t>
        </is>
      </c>
      <c r="G5" t="inlineStr">
        <is>
          <t>Wymaga remontu</t>
        </is>
      </c>
      <c r="H5" t="inlineStr">
        <is>
          <t>Olejowe</t>
        </is>
      </c>
      <c r="I5" t="inlineStr">
        <is>
          <t>Monitoring przez agencję ochrony</t>
        </is>
      </c>
      <c r="J5" t="inlineStr">
        <is>
          <t>III</t>
        </is>
      </c>
    </row>
    <row r="6">
      <c r="A6" t="inlineStr">
        <is>
          <t>Spółka jawna</t>
        </is>
      </c>
      <c r="B6" t="inlineStr">
        <is>
          <t>26–50</t>
        </is>
      </c>
      <c r="C6" t="inlineStr">
        <is>
          <t>powyżej 3 mln PLN</t>
        </is>
      </c>
      <c r="D6" t="inlineStr">
        <is>
          <t>Inny</t>
        </is>
      </c>
      <c r="E6" t="inlineStr">
        <is>
          <t>Inne</t>
        </is>
      </c>
      <c r="F6" t="inlineStr">
        <is>
          <t>Inne</t>
        </is>
      </c>
      <c r="H6" t="inlineStr">
        <is>
          <t>Pompą ciepła</t>
        </is>
      </c>
      <c r="J6" t="inlineStr">
        <is>
          <t>IV+</t>
        </is>
      </c>
    </row>
    <row r="7">
      <c r="A7" t="inlineStr">
        <is>
          <t>Spółka komandytowa</t>
        </is>
      </c>
      <c r="B7" t="inlineStr">
        <is>
          <t>51+</t>
        </is>
      </c>
      <c r="H7" t="inlineStr">
        <is>
          <t>Inne</t>
        </is>
      </c>
    </row>
    <row r="8">
      <c r="A8" t="inlineStr">
        <is>
          <t>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Aura Expert</dc:creator>
  <dc:title>Wniosek o ubezpieczenie majątkowe</dc:title>
  <dc:description>Szablon wniosku o ubezpieczenie majątkowe — odpowiednik formularza internetowego.</dc:description>
  <dcterms:created xsi:type="dcterms:W3CDTF">2026-09-18T09:29:36Z</dcterms:created>
  <dcterms:modified xsi:type="dcterms:W3CDTF">2026-09-23T21:05:49Z</dcterms:modified>
  <cp:lastModifiedBy>Marek  Cieśla - Aura Consulting sp. z o.o.</cp:lastModifiedBy>
</cp:coreProperties>
</file>